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ELL\Downloads\"/>
    </mc:Choice>
  </mc:AlternateContent>
  <xr:revisionPtr revIDLastSave="0" documentId="13_ncr:1_{9DA4D191-920E-4B96-9741-F381DE89D926}" xr6:coauthVersionLast="47" xr6:coauthVersionMax="47" xr10:uidLastSave="{00000000-0000-0000-0000-000000000000}"/>
  <bookViews>
    <workbookView xWindow="-108" yWindow="-108" windowWidth="23256" windowHeight="13176" activeTab="1" xr2:uid="{5AFC652A-D304-4FA5-AA31-F426E6EAC965}"/>
  </bookViews>
  <sheets>
    <sheet name="Instructions" sheetId="5" r:id="rId1"/>
    <sheet name="Mortgage Calculator" sheetId="1" r:id="rId2"/>
    <sheet name="Mortgage_INT Comparision" sheetId="4" r:id="rId3"/>
    <sheet name="Payment Schedule" sheetId="2" r:id="rId4"/>
    <sheet name="MISC" sheetId="3" state="hidden" r:id="rId5"/>
  </sheets>
  <externalReferences>
    <externalReference r:id="rId6"/>
  </externalReferences>
  <definedNames>
    <definedName name="_xleta.AVERAGE" hidden="1" xlm="1">#NAME?</definedName>
    <definedName name="_xleta.MONTH" hidden="1" xlm="1">#NAME?</definedName>
    <definedName name="_xleta.RATE" hidden="1" xlm="1">#NAME?</definedName>
    <definedName name="_xleta.SHEETS" hidden="1" xlm="1">#NAME?</definedName>
    <definedName name="_xleta.VALUE" hidden="1" xlm="1">#NAME?</definedName>
    <definedName name="annuity_certain">(1-(1+('Mortgage Calculator'!$C$13/12))^-no_of_periods)/('Mortgage Calculator'!$C$13/12)</definedName>
    <definedName name="closing_cost">'Mortgage Calculator'!$S$8*Home_Property_Value</definedName>
    <definedName name="Down_Payment">'Mortgage Calculator'!$E$9*'Mortgage Calculator'!$C$9</definedName>
    <definedName name="Home_Property_Value">'Mortgage Calculator'!$C$9</definedName>
    <definedName name="Money_at_Bank">'Mortgage Calculator'!$I$9</definedName>
    <definedName name="monthly_expenses">'Mortgage Calculator'!$I$13</definedName>
    <definedName name="monthly_home_insurance">'Mortgage Calculator'!$P$10/12*Home_Property_Value</definedName>
    <definedName name="monthly_property_tax">'Mortgage Calculator'!$P$14/12*Home_Property_Value</definedName>
    <definedName name="montly_rent">'Mortgage Calculator'!$G$13</definedName>
    <definedName name="no_of_periods">'Mortgage Calculator'!$E$13*12</definedName>
    <definedName name="reasonable_rule">1/2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39" i="1" l="1"/>
  <c r="U25" i="1" a="1"/>
  <c r="U25" i="1" s="1"/>
  <c r="U24" i="1"/>
  <c r="N40" i="1"/>
  <c r="U26" i="1" l="1" a="1"/>
  <c r="U26" i="1" s="1"/>
  <c r="U27" i="1" s="1"/>
  <c r="U28" i="1" s="1" a="1"/>
  <c r="U28" i="1" s="1"/>
  <c r="U29" i="1" s="1" a="1"/>
  <c r="U29" i="1" s="1"/>
  <c r="U30" i="1" s="1"/>
  <c r="U31" i="1" s="1"/>
  <c r="F10" i="4" l="1"/>
  <c r="E10" i="4"/>
  <c r="M429" i="3"/>
  <c r="M428" i="3"/>
  <c r="M370" i="3"/>
  <c r="M371" i="3"/>
  <c r="M372" i="3"/>
  <c r="M373" i="3"/>
  <c r="M374" i="3"/>
  <c r="M375" i="3"/>
  <c r="M376" i="3"/>
  <c r="M377" i="3"/>
  <c r="M378" i="3"/>
  <c r="M379" i="3"/>
  <c r="M380" i="3"/>
  <c r="M381" i="3"/>
  <c r="M382" i="3"/>
  <c r="M383" i="3"/>
  <c r="M384" i="3"/>
  <c r="M385" i="3"/>
  <c r="M386" i="3"/>
  <c r="M387" i="3"/>
  <c r="M388" i="3"/>
  <c r="M389" i="3"/>
  <c r="M390" i="3"/>
  <c r="M391" i="3"/>
  <c r="M392" i="3"/>
  <c r="M393" i="3"/>
  <c r="M394" i="3"/>
  <c r="M395" i="3"/>
  <c r="M396" i="3"/>
  <c r="M397" i="3"/>
  <c r="M398" i="3"/>
  <c r="M399" i="3"/>
  <c r="M400" i="3"/>
  <c r="M401" i="3"/>
  <c r="M402" i="3"/>
  <c r="M403" i="3"/>
  <c r="M404" i="3"/>
  <c r="M405" i="3"/>
  <c r="M406" i="3"/>
  <c r="M407" i="3"/>
  <c r="M408" i="3"/>
  <c r="M409" i="3"/>
  <c r="M410" i="3"/>
  <c r="M411" i="3"/>
  <c r="M412" i="3"/>
  <c r="M413" i="3"/>
  <c r="M414" i="3"/>
  <c r="M415" i="3"/>
  <c r="M416" i="3"/>
  <c r="M417" i="3"/>
  <c r="M418" i="3"/>
  <c r="M419" i="3"/>
  <c r="M420" i="3"/>
  <c r="M421" i="3"/>
  <c r="M422" i="3"/>
  <c r="M423" i="3"/>
  <c r="M424" i="3"/>
  <c r="M425" i="3"/>
  <c r="M426" i="3"/>
  <c r="M427" i="3"/>
  <c r="G426" i="3"/>
  <c r="J11" i="2"/>
  <c r="F370" i="3"/>
  <c r="F371" i="3"/>
  <c r="F372" i="3"/>
  <c r="F373" i="3"/>
  <c r="F374" i="3"/>
  <c r="F375" i="3"/>
  <c r="F376" i="3"/>
  <c r="F377" i="3"/>
  <c r="F378" i="3"/>
  <c r="F379" i="3"/>
  <c r="F380" i="3"/>
  <c r="F381" i="3"/>
  <c r="F382" i="3"/>
  <c r="F383" i="3"/>
  <c r="F384" i="3"/>
  <c r="F385" i="3"/>
  <c r="F386" i="3"/>
  <c r="F387" i="3"/>
  <c r="F388" i="3"/>
  <c r="F389" i="3"/>
  <c r="F390" i="3"/>
  <c r="F391" i="3"/>
  <c r="F392" i="3"/>
  <c r="F393" i="3"/>
  <c r="F394" i="3"/>
  <c r="F395" i="3"/>
  <c r="F396" i="3"/>
  <c r="F397" i="3"/>
  <c r="F398" i="3"/>
  <c r="F399" i="3"/>
  <c r="F400" i="3"/>
  <c r="F401" i="3"/>
  <c r="F402" i="3"/>
  <c r="F403" i="3"/>
  <c r="F404" i="3"/>
  <c r="F405" i="3"/>
  <c r="F406" i="3"/>
  <c r="F407" i="3"/>
  <c r="F408" i="3"/>
  <c r="F409" i="3"/>
  <c r="F410" i="3"/>
  <c r="F411" i="3"/>
  <c r="F412" i="3"/>
  <c r="F413" i="3"/>
  <c r="F414" i="3"/>
  <c r="F415" i="3"/>
  <c r="F416" i="3"/>
  <c r="F417" i="3"/>
  <c r="F418" i="3"/>
  <c r="F419" i="3"/>
  <c r="F420" i="3"/>
  <c r="F421" i="3"/>
  <c r="F422" i="3"/>
  <c r="F423" i="3"/>
  <c r="F424" i="3"/>
  <c r="F425" i="3"/>
  <c r="F426" i="3"/>
  <c r="F427" i="3"/>
  <c r="F428" i="3"/>
  <c r="F42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D401" i="3"/>
  <c r="D402" i="3"/>
  <c r="D403" i="3"/>
  <c r="D404" i="3"/>
  <c r="D405" i="3"/>
  <c r="D406" i="3"/>
  <c r="D407" i="3"/>
  <c r="D408" i="3"/>
  <c r="D409" i="3"/>
  <c r="D410" i="3"/>
  <c r="D411" i="3"/>
  <c r="D412" i="3"/>
  <c r="D413" i="3"/>
  <c r="D414" i="3"/>
  <c r="D415" i="3"/>
  <c r="D416" i="3"/>
  <c r="D417" i="3"/>
  <c r="D418" i="3"/>
  <c r="D419" i="3"/>
  <c r="D420" i="3"/>
  <c r="D421" i="3"/>
  <c r="D422" i="3"/>
  <c r="D423" i="3"/>
  <c r="D424" i="3"/>
  <c r="D425" i="3"/>
  <c r="D426" i="3"/>
  <c r="D427" i="3"/>
  <c r="D428" i="3"/>
  <c r="D429" i="3"/>
  <c r="C43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G372" i="3"/>
  <c r="G28" i="1"/>
  <c r="G26" i="1" a="1"/>
  <c r="G26" i="1" s="1"/>
  <c r="G24" i="1" a="1"/>
  <c r="G24" i="1" s="1"/>
  <c r="G25" i="1" s="1" a="1"/>
  <c r="G25" i="1" s="1"/>
  <c r="G27" i="1" l="1" a="1"/>
  <c r="G27" i="1" s="1"/>
  <c r="D11" i="2" a="1"/>
  <c r="D11" i="2" s="1"/>
  <c r="G418" i="3"/>
  <c r="G410" i="3"/>
  <c r="G402" i="3"/>
  <c r="G394" i="3"/>
  <c r="G386" i="3"/>
  <c r="H386" i="3" s="1"/>
  <c r="G378" i="3"/>
  <c r="G370" i="3"/>
  <c r="B39" i="1"/>
  <c r="B40" i="1" s="1"/>
  <c r="B41" i="1" s="1" a="1"/>
  <c r="B41" i="1" s="1"/>
  <c r="E9" i="4"/>
  <c r="F9" i="4"/>
  <c r="G427" i="3"/>
  <c r="G419" i="3"/>
  <c r="H419" i="3" s="1"/>
  <c r="G411" i="3"/>
  <c r="H411" i="3" s="1"/>
  <c r="G403" i="3"/>
  <c r="H403" i="3" s="1"/>
  <c r="G395" i="3"/>
  <c r="G387" i="3"/>
  <c r="G379" i="3"/>
  <c r="H379" i="3" s="1"/>
  <c r="G371" i="3"/>
  <c r="H371" i="3" s="1"/>
  <c r="G425" i="3"/>
  <c r="H425" i="3" s="1"/>
  <c r="G417" i="3"/>
  <c r="H417" i="3" s="1"/>
  <c r="G409" i="3"/>
  <c r="H409" i="3" s="1"/>
  <c r="G401" i="3"/>
  <c r="H401" i="3" s="1"/>
  <c r="G393" i="3"/>
  <c r="H393" i="3" s="1"/>
  <c r="G385" i="3"/>
  <c r="G377" i="3"/>
  <c r="H372" i="3"/>
  <c r="G424" i="3"/>
  <c r="H424" i="3" s="1"/>
  <c r="G416" i="3"/>
  <c r="H416" i="3" s="1"/>
  <c r="G408" i="3"/>
  <c r="G400" i="3"/>
  <c r="H400" i="3" s="1"/>
  <c r="G392" i="3"/>
  <c r="H392" i="3" s="1"/>
  <c r="G384" i="3"/>
  <c r="H384" i="3" s="1"/>
  <c r="G376" i="3"/>
  <c r="H376" i="3" s="1"/>
  <c r="H385" i="3"/>
  <c r="H377" i="3"/>
  <c r="G423" i="3"/>
  <c r="H423" i="3" s="1"/>
  <c r="G415" i="3"/>
  <c r="H415" i="3" s="1"/>
  <c r="G407" i="3"/>
  <c r="H407" i="3" s="1"/>
  <c r="G399" i="3"/>
  <c r="G391" i="3"/>
  <c r="H391" i="3" s="1"/>
  <c r="G383" i="3"/>
  <c r="H383" i="3" s="1"/>
  <c r="G375" i="3"/>
  <c r="H375" i="3" s="1"/>
  <c r="H396" i="3"/>
  <c r="H408" i="3"/>
  <c r="N9" i="3" a="1"/>
  <c r="M314" i="3" s="1"/>
  <c r="G422" i="3"/>
  <c r="H422" i="3" s="1"/>
  <c r="G414" i="3"/>
  <c r="H414" i="3" s="1"/>
  <c r="G406" i="3"/>
  <c r="H406" i="3" s="1"/>
  <c r="G398" i="3"/>
  <c r="H398" i="3" s="1"/>
  <c r="G390" i="3"/>
  <c r="H390" i="3" s="1"/>
  <c r="G382" i="3"/>
  <c r="H382" i="3" s="1"/>
  <c r="G374" i="3"/>
  <c r="H374" i="3" s="1"/>
  <c r="H399" i="3"/>
  <c r="G429" i="3"/>
  <c r="H429" i="3" s="1"/>
  <c r="G421" i="3"/>
  <c r="H421" i="3" s="1"/>
  <c r="G413" i="3"/>
  <c r="H413" i="3" s="1"/>
  <c r="G405" i="3"/>
  <c r="H405" i="3" s="1"/>
  <c r="G397" i="3"/>
  <c r="H397" i="3" s="1"/>
  <c r="G389" i="3"/>
  <c r="H389" i="3" s="1"/>
  <c r="G381" i="3"/>
  <c r="H381" i="3" s="1"/>
  <c r="G373" i="3"/>
  <c r="H373" i="3" s="1"/>
  <c r="G428" i="3"/>
  <c r="H428" i="3" s="1"/>
  <c r="G420" i="3"/>
  <c r="H420" i="3" s="1"/>
  <c r="G412" i="3"/>
  <c r="H412" i="3" s="1"/>
  <c r="G404" i="3"/>
  <c r="H404" i="3" s="1"/>
  <c r="G396" i="3"/>
  <c r="G388" i="3"/>
  <c r="H388" i="3" s="1"/>
  <c r="G380" i="3"/>
  <c r="H380" i="3" s="1"/>
  <c r="H427" i="3"/>
  <c r="H395" i="3"/>
  <c r="H426" i="3"/>
  <c r="H418" i="3"/>
  <c r="H410" i="3"/>
  <c r="H402" i="3"/>
  <c r="H394" i="3"/>
  <c r="H378" i="3"/>
  <c r="H370" i="3"/>
  <c r="H387" i="3"/>
  <c r="G29" i="1" a="1"/>
  <c r="G29" i="1" s="1"/>
  <c r="G30" i="1" a="1"/>
  <c r="G30" i="1" s="1"/>
  <c r="G31" i="1" s="1" a="1"/>
  <c r="G31" i="1" s="1"/>
  <c r="C12" i="2" l="1"/>
  <c r="E9" i="3" a="1"/>
  <c r="D114" i="3" s="1"/>
  <c r="C114" i="3" s="1"/>
  <c r="G114" i="3" s="1"/>
  <c r="B42" i="1"/>
  <c r="F16" i="4" a="1"/>
  <c r="F16" i="4" s="1"/>
  <c r="E16" i="4" a="1"/>
  <c r="E16" i="4" s="1"/>
  <c r="M75" i="3"/>
  <c r="M263" i="3"/>
  <c r="M34" i="3"/>
  <c r="M177" i="3"/>
  <c r="M24" i="3"/>
  <c r="M92" i="3"/>
  <c r="M220" i="3"/>
  <c r="M15" i="3"/>
  <c r="M152" i="3"/>
  <c r="M287" i="3"/>
  <c r="M26" i="3"/>
  <c r="M143" i="3"/>
  <c r="M246" i="3"/>
  <c r="M241" i="3"/>
  <c r="M88" i="3"/>
  <c r="M156" i="3"/>
  <c r="M203" i="3"/>
  <c r="M353" i="3"/>
  <c r="M162" i="3"/>
  <c r="M113" i="3"/>
  <c r="M317" i="3"/>
  <c r="M28" i="3"/>
  <c r="M307" i="3"/>
  <c r="M118" i="3"/>
  <c r="M278" i="3"/>
  <c r="M49" i="3"/>
  <c r="M253" i="3"/>
  <c r="M183" i="3"/>
  <c r="M46" i="3"/>
  <c r="M243" i="3"/>
  <c r="M364" i="3"/>
  <c r="M344" i="3"/>
  <c r="M189" i="3"/>
  <c r="M42" i="3"/>
  <c r="M174" i="3"/>
  <c r="M346" i="3"/>
  <c r="M131" i="3"/>
  <c r="M280" i="3"/>
  <c r="M125" i="3"/>
  <c r="M359" i="3"/>
  <c r="M199" i="3"/>
  <c r="M254" i="3"/>
  <c r="M216" i="3"/>
  <c r="M61" i="3"/>
  <c r="M345" i="3"/>
  <c r="M318" i="3"/>
  <c r="M31" i="3"/>
  <c r="M363" i="3"/>
  <c r="M231" i="3"/>
  <c r="M50" i="3"/>
  <c r="M19" i="3"/>
  <c r="M169" i="3"/>
  <c r="M336" i="3"/>
  <c r="M80" i="3"/>
  <c r="M117" i="3"/>
  <c r="M215" i="3"/>
  <c r="M107" i="3"/>
  <c r="M47" i="3"/>
  <c r="M268" i="3"/>
  <c r="M74" i="3"/>
  <c r="M300" i="3"/>
  <c r="M163" i="3"/>
  <c r="M366" i="3"/>
  <c r="M161" i="3"/>
  <c r="M33" i="3"/>
  <c r="M264" i="3"/>
  <c r="M136" i="3"/>
  <c r="M301" i="3"/>
  <c r="M173" i="3"/>
  <c r="M45" i="3"/>
  <c r="M140" i="3"/>
  <c r="M12" i="3"/>
  <c r="M244" i="3"/>
  <c r="M10" i="3"/>
  <c r="M123" i="3"/>
  <c r="M247" i="3"/>
  <c r="M339" i="3"/>
  <c r="M94" i="3"/>
  <c r="M222" i="3"/>
  <c r="M319" i="3"/>
  <c r="M63" i="3"/>
  <c r="M191" i="3"/>
  <c r="M299" i="3"/>
  <c r="M38" i="3"/>
  <c r="M166" i="3"/>
  <c r="M282" i="3"/>
  <c r="M23" i="3"/>
  <c r="M283" i="3"/>
  <c r="M90" i="3"/>
  <c r="M284" i="3"/>
  <c r="M82" i="3"/>
  <c r="M210" i="3"/>
  <c r="M311" i="3"/>
  <c r="M51" i="3"/>
  <c r="M179" i="3"/>
  <c r="M291" i="3"/>
  <c r="M281" i="3"/>
  <c r="M217" i="3"/>
  <c r="M153" i="3"/>
  <c r="M89" i="3"/>
  <c r="M25" i="3"/>
  <c r="M320" i="3"/>
  <c r="M256" i="3"/>
  <c r="M192" i="3"/>
  <c r="M128" i="3"/>
  <c r="M64" i="3"/>
  <c r="M357" i="3"/>
  <c r="M293" i="3"/>
  <c r="M229" i="3"/>
  <c r="M165" i="3"/>
  <c r="M101" i="3"/>
  <c r="M37" i="3"/>
  <c r="M196" i="3"/>
  <c r="M132" i="3"/>
  <c r="M68" i="3"/>
  <c r="M39" i="3"/>
  <c r="M270" i="3"/>
  <c r="M170" i="3"/>
  <c r="M62" i="3"/>
  <c r="M190" i="3"/>
  <c r="M276" i="3"/>
  <c r="M356" i="3"/>
  <c r="M178" i="3"/>
  <c r="M147" i="3"/>
  <c r="M233" i="3"/>
  <c r="M105" i="3"/>
  <c r="M208" i="3"/>
  <c r="M245" i="3"/>
  <c r="M212" i="3"/>
  <c r="M20" i="3"/>
  <c r="N9" i="3"/>
  <c r="M9" i="3" s="1"/>
  <c r="M329" i="3"/>
  <c r="M206" i="3"/>
  <c r="M175" i="3"/>
  <c r="M22" i="3"/>
  <c r="M150" i="3"/>
  <c r="M258" i="3"/>
  <c r="M271" i="3"/>
  <c r="M194" i="3"/>
  <c r="M35" i="3"/>
  <c r="M279" i="3"/>
  <c r="M225" i="3"/>
  <c r="M97" i="3"/>
  <c r="M328" i="3"/>
  <c r="M200" i="3"/>
  <c r="M72" i="3"/>
  <c r="M365" i="3"/>
  <c r="M237" i="3"/>
  <c r="M109" i="3"/>
  <c r="M204" i="3"/>
  <c r="M76" i="3"/>
  <c r="M138" i="3"/>
  <c r="M11" i="3"/>
  <c r="M139" i="3"/>
  <c r="M260" i="3"/>
  <c r="M350" i="3"/>
  <c r="M110" i="3"/>
  <c r="M236" i="3"/>
  <c r="M330" i="3"/>
  <c r="M79" i="3"/>
  <c r="M207" i="3"/>
  <c r="M310" i="3"/>
  <c r="M54" i="3"/>
  <c r="M182" i="3"/>
  <c r="M292" i="3"/>
  <c r="M71" i="3"/>
  <c r="M305" i="3"/>
  <c r="M122" i="3"/>
  <c r="M295" i="3"/>
  <c r="M98" i="3"/>
  <c r="M226" i="3"/>
  <c r="M322" i="3"/>
  <c r="M67" i="3"/>
  <c r="M195" i="3"/>
  <c r="M302" i="3"/>
  <c r="M273" i="3"/>
  <c r="M209" i="3"/>
  <c r="M145" i="3"/>
  <c r="M81" i="3"/>
  <c r="M17" i="3"/>
  <c r="M312" i="3"/>
  <c r="M248" i="3"/>
  <c r="M184" i="3"/>
  <c r="M120" i="3"/>
  <c r="M56" i="3"/>
  <c r="M349" i="3"/>
  <c r="M285" i="3"/>
  <c r="M221" i="3"/>
  <c r="M157" i="3"/>
  <c r="M93" i="3"/>
  <c r="M29" i="3"/>
  <c r="M188" i="3"/>
  <c r="M124" i="3"/>
  <c r="M60" i="3"/>
  <c r="M55" i="3"/>
  <c r="M294" i="3"/>
  <c r="M202" i="3"/>
  <c r="M91" i="3"/>
  <c r="M298" i="3"/>
  <c r="M134" i="3"/>
  <c r="M259" i="3"/>
  <c r="M267" i="3"/>
  <c r="M272" i="3"/>
  <c r="M309" i="3"/>
  <c r="M53" i="3"/>
  <c r="M84" i="3"/>
  <c r="M327" i="3"/>
  <c r="M235" i="3"/>
  <c r="M308" i="3"/>
  <c r="M367" i="3"/>
  <c r="M27" i="3"/>
  <c r="M155" i="3"/>
  <c r="M274" i="3"/>
  <c r="M361" i="3"/>
  <c r="M126" i="3"/>
  <c r="M250" i="3"/>
  <c r="M340" i="3"/>
  <c r="M95" i="3"/>
  <c r="M223" i="3"/>
  <c r="M321" i="3"/>
  <c r="M70" i="3"/>
  <c r="M198" i="3"/>
  <c r="M303" i="3"/>
  <c r="M103" i="3"/>
  <c r="M326" i="3"/>
  <c r="M154" i="3"/>
  <c r="M306" i="3"/>
  <c r="M114" i="3"/>
  <c r="M239" i="3"/>
  <c r="M332" i="3"/>
  <c r="M83" i="3"/>
  <c r="M211" i="3"/>
  <c r="M313" i="3"/>
  <c r="M265" i="3"/>
  <c r="M201" i="3"/>
  <c r="M137" i="3"/>
  <c r="M73" i="3"/>
  <c r="M368" i="3"/>
  <c r="M304" i="3"/>
  <c r="M240" i="3"/>
  <c r="M176" i="3"/>
  <c r="M112" i="3"/>
  <c r="M48" i="3"/>
  <c r="M341" i="3"/>
  <c r="M277" i="3"/>
  <c r="M213" i="3"/>
  <c r="M149" i="3"/>
  <c r="M85" i="3"/>
  <c r="M21" i="3"/>
  <c r="M180" i="3"/>
  <c r="M116" i="3"/>
  <c r="M52" i="3"/>
  <c r="M87" i="3"/>
  <c r="M315" i="3"/>
  <c r="M234" i="3"/>
  <c r="M219" i="3"/>
  <c r="M159" i="3"/>
  <c r="M255" i="3"/>
  <c r="M58" i="3"/>
  <c r="M290" i="3"/>
  <c r="M355" i="3"/>
  <c r="M41" i="3"/>
  <c r="M144" i="3"/>
  <c r="M16" i="3"/>
  <c r="M181" i="3"/>
  <c r="M148" i="3"/>
  <c r="M106" i="3"/>
  <c r="M78" i="3"/>
  <c r="M289" i="3"/>
  <c r="M66" i="3"/>
  <c r="M43" i="3"/>
  <c r="M171" i="3"/>
  <c r="M286" i="3"/>
  <c r="M14" i="3"/>
  <c r="M142" i="3"/>
  <c r="M262" i="3"/>
  <c r="M351" i="3"/>
  <c r="M111" i="3"/>
  <c r="M238" i="3"/>
  <c r="M331" i="3"/>
  <c r="M86" i="3"/>
  <c r="M214" i="3"/>
  <c r="M324" i="3"/>
  <c r="M135" i="3"/>
  <c r="M347" i="3"/>
  <c r="M186" i="3"/>
  <c r="M316" i="3"/>
  <c r="M130" i="3"/>
  <c r="M252" i="3"/>
  <c r="M343" i="3"/>
  <c r="M99" i="3"/>
  <c r="M227" i="3"/>
  <c r="M323" i="3"/>
  <c r="M257" i="3"/>
  <c r="M193" i="3"/>
  <c r="M129" i="3"/>
  <c r="M65" i="3"/>
  <c r="M360" i="3"/>
  <c r="M296" i="3"/>
  <c r="M232" i="3"/>
  <c r="M168" i="3"/>
  <c r="M104" i="3"/>
  <c r="M40" i="3"/>
  <c r="M333" i="3"/>
  <c r="M269" i="3"/>
  <c r="M205" i="3"/>
  <c r="M141" i="3"/>
  <c r="M77" i="3"/>
  <c r="M13" i="3"/>
  <c r="M172" i="3"/>
  <c r="M108" i="3"/>
  <c r="M44" i="3"/>
  <c r="M119" i="3"/>
  <c r="M337" i="3"/>
  <c r="M338" i="3"/>
  <c r="M59" i="3"/>
  <c r="M187" i="3"/>
  <c r="M297" i="3"/>
  <c r="M30" i="3"/>
  <c r="M158" i="3"/>
  <c r="M275" i="3"/>
  <c r="M362" i="3"/>
  <c r="M127" i="3"/>
  <c r="M251" i="3"/>
  <c r="M342" i="3"/>
  <c r="M102" i="3"/>
  <c r="M230" i="3"/>
  <c r="M335" i="3"/>
  <c r="M167" i="3"/>
  <c r="M369" i="3"/>
  <c r="M218" i="3"/>
  <c r="M18" i="3"/>
  <c r="M146" i="3"/>
  <c r="M266" i="3"/>
  <c r="M354" i="3"/>
  <c r="M115" i="3"/>
  <c r="M242" i="3"/>
  <c r="M334" i="3"/>
  <c r="M249" i="3"/>
  <c r="M185" i="3"/>
  <c r="M121" i="3"/>
  <c r="M57" i="3"/>
  <c r="M352" i="3"/>
  <c r="M288" i="3"/>
  <c r="M224" i="3"/>
  <c r="M160" i="3"/>
  <c r="M96" i="3"/>
  <c r="M32" i="3"/>
  <c r="M325" i="3"/>
  <c r="M261" i="3"/>
  <c r="M197" i="3"/>
  <c r="M133" i="3"/>
  <c r="M69" i="3"/>
  <c r="M228" i="3"/>
  <c r="M164" i="3"/>
  <c r="M100" i="3"/>
  <c r="M36" i="3"/>
  <c r="M151" i="3"/>
  <c r="M358" i="3"/>
  <c r="M348" i="3"/>
  <c r="C173" i="2"/>
  <c r="E173" i="2" s="1" a="1"/>
  <c r="E173" i="2" s="1"/>
  <c r="C301" i="2"/>
  <c r="C270" i="2"/>
  <c r="C340" i="2"/>
  <c r="C181" i="2"/>
  <c r="C110" i="2"/>
  <c r="C176" i="2"/>
  <c r="C114" i="2"/>
  <c r="C251" i="2"/>
  <c r="E251" i="2" s="1" a="1"/>
  <c r="E251" i="2" s="1"/>
  <c r="C350" i="2"/>
  <c r="C61" i="2"/>
  <c r="C189" i="2"/>
  <c r="C317" i="2"/>
  <c r="C118" i="2"/>
  <c r="C302" i="2"/>
  <c r="C184" i="2"/>
  <c r="C25" i="2"/>
  <c r="E25" i="2" s="1" a="1"/>
  <c r="E25" i="2" s="1"/>
  <c r="C59" i="2"/>
  <c r="C122" i="2"/>
  <c r="C267" i="2"/>
  <c r="C236" i="2"/>
  <c r="C36" i="2"/>
  <c r="C45" i="2"/>
  <c r="C102" i="2"/>
  <c r="C168" i="2"/>
  <c r="E168" i="2" s="1" a="1"/>
  <c r="E168" i="2" s="1"/>
  <c r="C368" i="2"/>
  <c r="C265" i="2"/>
  <c r="C106" i="2"/>
  <c r="C19" i="2"/>
  <c r="C327" i="2"/>
  <c r="C53" i="2"/>
  <c r="C309" i="2"/>
  <c r="C294" i="2"/>
  <c r="E294" i="2" s="1" a="1"/>
  <c r="E294" i="2" s="1"/>
  <c r="C17" i="2"/>
  <c r="C273" i="2"/>
  <c r="C15" i="2"/>
  <c r="C93" i="2"/>
  <c r="C221" i="2"/>
  <c r="C349" i="2"/>
  <c r="C166" i="2"/>
  <c r="C40" i="2"/>
  <c r="E40" i="2" s="1" a="1"/>
  <c r="E40" i="2" s="1"/>
  <c r="C240" i="2"/>
  <c r="C81" i="2"/>
  <c r="C75" i="2"/>
  <c r="C234" i="2"/>
  <c r="C283" i="2"/>
  <c r="C351" i="2"/>
  <c r="C180" i="2"/>
  <c r="C237" i="2"/>
  <c r="E237" i="2" s="1" a="1"/>
  <c r="E237" i="2" s="1"/>
  <c r="C182" i="2"/>
  <c r="C256" i="2"/>
  <c r="C91" i="2"/>
  <c r="C156" i="2"/>
  <c r="C111" i="2"/>
  <c r="C190" i="2"/>
  <c r="C125" i="2"/>
  <c r="C253" i="2"/>
  <c r="E253" i="2" s="1" a="1"/>
  <c r="E253" i="2" s="1"/>
  <c r="C38" i="2"/>
  <c r="C206" i="2"/>
  <c r="C80" i="2"/>
  <c r="C296" i="2"/>
  <c r="C145" i="2"/>
  <c r="C339" i="2"/>
  <c r="C362" i="2"/>
  <c r="C220" i="2"/>
  <c r="E220" i="2" s="1" a="1"/>
  <c r="E220" i="2" s="1"/>
  <c r="C271" i="2"/>
  <c r="C109" i="2"/>
  <c r="C14" i="2"/>
  <c r="C56" i="2"/>
  <c r="C129" i="2"/>
  <c r="C242" i="2"/>
  <c r="C212" i="2"/>
  <c r="C117" i="2"/>
  <c r="E117" i="2" s="1" a="1"/>
  <c r="E117" i="2" s="1"/>
  <c r="C245" i="2"/>
  <c r="C22" i="2"/>
  <c r="C64" i="2"/>
  <c r="C272" i="2"/>
  <c r="C137" i="2"/>
  <c r="C323" i="2"/>
  <c r="C250" i="2"/>
  <c r="C188" i="2"/>
  <c r="E188" i="2" s="1" a="1"/>
  <c r="E188" i="2" s="1"/>
  <c r="C143" i="2"/>
  <c r="C244" i="2"/>
  <c r="C29" i="2"/>
  <c r="C157" i="2"/>
  <c r="C285" i="2"/>
  <c r="C78" i="2"/>
  <c r="C246" i="2"/>
  <c r="C128" i="2"/>
  <c r="E128" i="2" s="1" a="1"/>
  <c r="E128" i="2" s="1"/>
  <c r="C336" i="2"/>
  <c r="C257" i="2"/>
  <c r="C355" i="2"/>
  <c r="C370" i="2"/>
  <c r="C247" i="2"/>
  <c r="C356" i="2"/>
  <c r="C69" i="2"/>
  <c r="C197" i="2"/>
  <c r="E197" i="2" s="1" a="1"/>
  <c r="E197" i="2" s="1"/>
  <c r="C325" i="2"/>
  <c r="C126" i="2"/>
  <c r="C310" i="2"/>
  <c r="C192" i="2"/>
  <c r="C41" i="2"/>
  <c r="C281" i="2"/>
  <c r="C107" i="2"/>
  <c r="C130" i="2"/>
  <c r="E130" i="2" s="1" a="1"/>
  <c r="E130" i="2" s="1"/>
  <c r="C299" i="2"/>
  <c r="C63" i="2"/>
  <c r="C55" i="2"/>
  <c r="C276" i="2"/>
  <c r="C13" i="2"/>
  <c r="C77" i="2"/>
  <c r="C141" i="2"/>
  <c r="C205" i="2"/>
  <c r="E205" i="2" s="1" a="1"/>
  <c r="E205" i="2" s="1"/>
  <c r="C269" i="2"/>
  <c r="C333" i="2"/>
  <c r="C54" i="2"/>
  <c r="C142" i="2"/>
  <c r="C230" i="2"/>
  <c r="C318" i="2"/>
  <c r="C112" i="2"/>
  <c r="C208" i="2"/>
  <c r="E208" i="2" s="1" a="1"/>
  <c r="E208" i="2" s="1"/>
  <c r="C312" i="2"/>
  <c r="C65" i="2"/>
  <c r="C193" i="2"/>
  <c r="C321" i="2"/>
  <c r="C187" i="2"/>
  <c r="C42" i="2"/>
  <c r="C170" i="2"/>
  <c r="C298" i="2"/>
  <c r="E298" i="2" s="1" a="1"/>
  <c r="E298" i="2" s="1"/>
  <c r="C115" i="2"/>
  <c r="C20" i="2"/>
  <c r="C108" i="2"/>
  <c r="C223" i="2"/>
  <c r="C196" i="2"/>
  <c r="C71" i="2"/>
  <c r="C334" i="2"/>
  <c r="C11" i="2"/>
  <c r="C133" i="2"/>
  <c r="C261" i="2"/>
  <c r="C46" i="2"/>
  <c r="C214" i="2"/>
  <c r="C104" i="2"/>
  <c r="C304" i="2"/>
  <c r="C153" i="2"/>
  <c r="E153" i="2" s="1" a="1"/>
  <c r="E153" i="2" s="1"/>
  <c r="C28" i="2"/>
  <c r="E28" i="2" s="1" a="1"/>
  <c r="E28" i="2" s="1"/>
  <c r="C258" i="2"/>
  <c r="C43" i="2"/>
  <c r="C252" i="2"/>
  <c r="C23" i="2"/>
  <c r="C204" i="2"/>
  <c r="C21" i="2"/>
  <c r="C85" i="2"/>
  <c r="E85" i="2" s="1" a="1"/>
  <c r="E85" i="2" s="1"/>
  <c r="C149" i="2"/>
  <c r="E149" i="2" s="1" a="1"/>
  <c r="E149" i="2" s="1"/>
  <c r="C213" i="2"/>
  <c r="C277" i="2"/>
  <c r="C341" i="2"/>
  <c r="C62" i="2"/>
  <c r="C150" i="2"/>
  <c r="C238" i="2"/>
  <c r="C16" i="2"/>
  <c r="E16" i="2" s="1" a="1"/>
  <c r="E16" i="2" s="1"/>
  <c r="C120" i="2"/>
  <c r="E120" i="2" s="1" a="1"/>
  <c r="E120" i="2" s="1"/>
  <c r="C232" i="2"/>
  <c r="C320" i="2"/>
  <c r="C73" i="2"/>
  <c r="C201" i="2"/>
  <c r="C329" i="2"/>
  <c r="C195" i="2"/>
  <c r="C50" i="2"/>
  <c r="E50" i="2" s="1" a="1"/>
  <c r="E50" i="2" s="1"/>
  <c r="C178" i="2"/>
  <c r="E178" i="2" s="1" a="1"/>
  <c r="E178" i="2" s="1"/>
  <c r="C306" i="2"/>
  <c r="C139" i="2"/>
  <c r="C44" i="2"/>
  <c r="C172" i="2"/>
  <c r="C255" i="2"/>
  <c r="C228" i="2"/>
  <c r="C103" i="2"/>
  <c r="E103" i="2" s="1" a="1"/>
  <c r="E103" i="2" s="1"/>
  <c r="C119" i="2"/>
  <c r="E119" i="2" s="1" a="1"/>
  <c r="E119" i="2" s="1"/>
  <c r="C209" i="2"/>
  <c r="C337" i="2"/>
  <c r="C219" i="2"/>
  <c r="C58" i="2"/>
  <c r="C186" i="2"/>
  <c r="C314" i="2"/>
  <c r="C155" i="2"/>
  <c r="E155" i="2" s="1" a="1"/>
  <c r="E155" i="2" s="1"/>
  <c r="C35" i="2"/>
  <c r="E35" i="2" s="1" a="1"/>
  <c r="E35" i="2" s="1"/>
  <c r="C300" i="2"/>
  <c r="C287" i="2"/>
  <c r="C260" i="2"/>
  <c r="C135" i="2"/>
  <c r="C215" i="2"/>
  <c r="C37" i="2"/>
  <c r="C101" i="2"/>
  <c r="E101" i="2" s="1" a="1"/>
  <c r="E101" i="2" s="1"/>
  <c r="C165" i="2"/>
  <c r="E165" i="2" s="1" a="1"/>
  <c r="E165" i="2" s="1"/>
  <c r="C229" i="2"/>
  <c r="C293" i="2"/>
  <c r="C357" i="2"/>
  <c r="C86" i="2"/>
  <c r="C174" i="2"/>
  <c r="C254" i="2"/>
  <c r="C48" i="2"/>
  <c r="E48" i="2" s="1" a="1"/>
  <c r="E48" i="2" s="1"/>
  <c r="C144" i="2"/>
  <c r="E144" i="2" s="1" a="1"/>
  <c r="E144" i="2" s="1"/>
  <c r="C248" i="2"/>
  <c r="C360" i="2"/>
  <c r="C89" i="2"/>
  <c r="C217" i="2"/>
  <c r="C345" i="2"/>
  <c r="C235" i="2"/>
  <c r="C66" i="2"/>
  <c r="E66" i="2" s="1" a="1"/>
  <c r="E66" i="2" s="1"/>
  <c r="C194" i="2"/>
  <c r="E194" i="2" s="1" a="1"/>
  <c r="E194" i="2" s="1"/>
  <c r="C322" i="2"/>
  <c r="C171" i="2"/>
  <c r="C275" i="2"/>
  <c r="C79" i="2"/>
  <c r="C319" i="2"/>
  <c r="C292" i="2"/>
  <c r="C167" i="2"/>
  <c r="E167" i="2" s="1" a="1"/>
  <c r="E167" i="2" s="1"/>
  <c r="C311" i="2"/>
  <c r="E311" i="2" s="1" a="1"/>
  <c r="E311" i="2" s="1"/>
  <c r="C365" i="2"/>
  <c r="C70" i="2"/>
  <c r="C134" i="2"/>
  <c r="C198" i="2"/>
  <c r="C262" i="2"/>
  <c r="C326" i="2"/>
  <c r="C72" i="2"/>
  <c r="E72" i="2" s="1" a="1"/>
  <c r="E72" i="2" s="1"/>
  <c r="C136" i="2"/>
  <c r="E136" i="2" s="1" a="1"/>
  <c r="E136" i="2" s="1"/>
  <c r="C200" i="2"/>
  <c r="C264" i="2"/>
  <c r="C328" i="2"/>
  <c r="C33" i="2"/>
  <c r="C97" i="2"/>
  <c r="C161" i="2"/>
  <c r="C225" i="2"/>
  <c r="E225" i="2" s="1" a="1"/>
  <c r="E225" i="2" s="1"/>
  <c r="C289" i="2"/>
  <c r="E289" i="2" s="1" a="1"/>
  <c r="E289" i="2" s="1"/>
  <c r="C353" i="2"/>
  <c r="C123" i="2"/>
  <c r="C243" i="2"/>
  <c r="C52" i="2"/>
  <c r="C74" i="2"/>
  <c r="C138" i="2"/>
  <c r="C202" i="2"/>
  <c r="E202" i="2" s="1" a="1"/>
  <c r="E202" i="2" s="1"/>
  <c r="C266" i="2"/>
  <c r="E266" i="2" s="1" a="1"/>
  <c r="E266" i="2" s="1"/>
  <c r="C330" i="2"/>
  <c r="C51" i="2"/>
  <c r="C179" i="2"/>
  <c r="C315" i="2"/>
  <c r="C371" i="2"/>
  <c r="C284" i="2"/>
  <c r="C207" i="2"/>
  <c r="E207" i="2" s="1" a="1"/>
  <c r="E207" i="2" s="1"/>
  <c r="C95" i="2"/>
  <c r="E95" i="2" s="1" a="1"/>
  <c r="E95" i="2" s="1"/>
  <c r="C343" i="2"/>
  <c r="C68" i="2"/>
  <c r="C324" i="2"/>
  <c r="C183" i="2"/>
  <c r="C199" i="2"/>
  <c r="C332" i="2"/>
  <c r="C47" i="2"/>
  <c r="E47" i="2" s="1" a="1"/>
  <c r="E47" i="2" s="1"/>
  <c r="C308" i="2"/>
  <c r="E308" i="2" s="1" a="1"/>
  <c r="E308" i="2" s="1"/>
  <c r="C105" i="2"/>
  <c r="C169" i="2"/>
  <c r="C233" i="2"/>
  <c r="C297" i="2"/>
  <c r="C361" i="2"/>
  <c r="C131" i="2"/>
  <c r="C259" i="2"/>
  <c r="E259" i="2" s="1" a="1"/>
  <c r="E259" i="2" s="1"/>
  <c r="C18" i="2"/>
  <c r="E18" i="2" s="1" a="1"/>
  <c r="E18" i="2" s="1"/>
  <c r="C82" i="2"/>
  <c r="C146" i="2"/>
  <c r="C210" i="2"/>
  <c r="C274" i="2"/>
  <c r="C338" i="2"/>
  <c r="C67" i="2"/>
  <c r="C203" i="2"/>
  <c r="E203" i="2" s="1" a="1"/>
  <c r="E203" i="2" s="1"/>
  <c r="C331" i="2"/>
  <c r="E331" i="2" s="1" a="1"/>
  <c r="E331" i="2" s="1"/>
  <c r="C60" i="2"/>
  <c r="C316" i="2"/>
  <c r="C303" i="2"/>
  <c r="C127" i="2"/>
  <c r="C366" i="2"/>
  <c r="C100" i="2"/>
  <c r="C348" i="2"/>
  <c r="E348" i="2" s="1" a="1"/>
  <c r="E348" i="2" s="1"/>
  <c r="C279" i="2"/>
  <c r="E279" i="2" s="1" a="1"/>
  <c r="E279" i="2" s="1"/>
  <c r="C231" i="2"/>
  <c r="C39" i="2"/>
  <c r="C84" i="2"/>
  <c r="C335" i="2"/>
  <c r="C278" i="2"/>
  <c r="C24" i="2"/>
  <c r="C88" i="2"/>
  <c r="E88" i="2" s="1" a="1"/>
  <c r="E88" i="2" s="1"/>
  <c r="C152" i="2"/>
  <c r="E152" i="2" s="1" a="1"/>
  <c r="E152" i="2" s="1"/>
  <c r="C216" i="2"/>
  <c r="C280" i="2"/>
  <c r="C344" i="2"/>
  <c r="C49" i="2"/>
  <c r="C113" i="2"/>
  <c r="C177" i="2"/>
  <c r="C241" i="2"/>
  <c r="E241" i="2" s="1" a="1"/>
  <c r="E241" i="2" s="1"/>
  <c r="C305" i="2"/>
  <c r="E305" i="2" s="1" a="1"/>
  <c r="E305" i="2" s="1"/>
  <c r="C369" i="2"/>
  <c r="C147" i="2"/>
  <c r="C291" i="2"/>
  <c r="C26" i="2"/>
  <c r="C90" i="2"/>
  <c r="C154" i="2"/>
  <c r="C218" i="2"/>
  <c r="E218" i="2" s="1" a="1"/>
  <c r="E218" i="2" s="1"/>
  <c r="C282" i="2"/>
  <c r="E282" i="2" s="1" a="1"/>
  <c r="E282" i="2" s="1"/>
  <c r="C346" i="2"/>
  <c r="C83" i="2"/>
  <c r="C211" i="2"/>
  <c r="C347" i="2"/>
  <c r="C92" i="2"/>
  <c r="C342" i="2"/>
  <c r="C87" i="2"/>
  <c r="E87" i="2" s="1" a="1"/>
  <c r="E87" i="2" s="1"/>
  <c r="C159" i="2"/>
  <c r="E159" i="2" s="1" a="1"/>
  <c r="E159" i="2" s="1"/>
  <c r="C76" i="2"/>
  <c r="C132" i="2"/>
  <c r="C367" i="2"/>
  <c r="C359" i="2"/>
  <c r="C263" i="2"/>
  <c r="C175" i="2"/>
  <c r="C116" i="2"/>
  <c r="E116" i="2" s="1" a="1"/>
  <c r="E116" i="2" s="1"/>
  <c r="C358" i="2"/>
  <c r="E358" i="2" s="1" a="1"/>
  <c r="E358" i="2" s="1"/>
  <c r="C30" i="2"/>
  <c r="C94" i="2"/>
  <c r="C158" i="2"/>
  <c r="C222" i="2"/>
  <c r="C286" i="2"/>
  <c r="C32" i="2"/>
  <c r="C96" i="2"/>
  <c r="E96" i="2" s="1" a="1"/>
  <c r="E96" i="2" s="1"/>
  <c r="C160" i="2"/>
  <c r="E160" i="2" s="1" a="1"/>
  <c r="E160" i="2" s="1"/>
  <c r="C224" i="2"/>
  <c r="C288" i="2"/>
  <c r="C352" i="2"/>
  <c r="C57" i="2"/>
  <c r="C121" i="2"/>
  <c r="C185" i="2"/>
  <c r="C249" i="2"/>
  <c r="E249" i="2" s="1" a="1"/>
  <c r="E249" i="2" s="1"/>
  <c r="C313" i="2"/>
  <c r="E313" i="2" s="1" a="1"/>
  <c r="E313" i="2" s="1"/>
  <c r="C27" i="2"/>
  <c r="C163" i="2"/>
  <c r="C307" i="2"/>
  <c r="C34" i="2"/>
  <c r="C98" i="2"/>
  <c r="C162" i="2"/>
  <c r="C226" i="2"/>
  <c r="E226" i="2" s="1" a="1"/>
  <c r="E226" i="2" s="1"/>
  <c r="C290" i="2"/>
  <c r="E290" i="2" s="1" a="1"/>
  <c r="E290" i="2" s="1"/>
  <c r="C354" i="2"/>
  <c r="C99" i="2"/>
  <c r="C227" i="2"/>
  <c r="C363" i="2"/>
  <c r="C124" i="2"/>
  <c r="C364" i="2"/>
  <c r="C151" i="2"/>
  <c r="E151" i="2" s="1" a="1"/>
  <c r="E151" i="2" s="1"/>
  <c r="C191" i="2"/>
  <c r="E191" i="2" s="1" a="1"/>
  <c r="E191" i="2" s="1"/>
  <c r="C140" i="2"/>
  <c r="C164" i="2"/>
  <c r="C268" i="2"/>
  <c r="C31" i="2"/>
  <c r="C295" i="2"/>
  <c r="C239" i="2"/>
  <c r="C148" i="2"/>
  <c r="E148" i="2" s="1" a="1"/>
  <c r="E148" i="2" s="1"/>
  <c r="E141" i="2" l="1" a="1"/>
  <c r="E141" i="2" s="1"/>
  <c r="E170" i="2" a="1"/>
  <c r="E170" i="2" s="1"/>
  <c r="E112" i="2" a="1"/>
  <c r="E112" i="2" s="1"/>
  <c r="E334" i="2" a="1"/>
  <c r="E334" i="2" s="1"/>
  <c r="E107" i="2" a="1"/>
  <c r="E107" i="2" s="1"/>
  <c r="E69" i="2" a="1"/>
  <c r="E69" i="2" s="1"/>
  <c r="E125" i="2" a="1"/>
  <c r="E125" i="2" s="1"/>
  <c r="E114" i="2" a="1"/>
  <c r="E114" i="2" s="1"/>
  <c r="E239" i="2" a="1"/>
  <c r="E239" i="2" s="1"/>
  <c r="E364" i="2" a="1"/>
  <c r="E364" i="2" s="1"/>
  <c r="E162" i="2" a="1"/>
  <c r="E162" i="2" s="1"/>
  <c r="E185" i="2" a="1"/>
  <c r="E185" i="2" s="1"/>
  <c r="E32" i="2" a="1"/>
  <c r="E32" i="2" s="1"/>
  <c r="E175" i="2" a="1"/>
  <c r="E175" i="2" s="1"/>
  <c r="E342" i="2" a="1"/>
  <c r="E342" i="2" s="1"/>
  <c r="E154" i="2" a="1"/>
  <c r="E154" i="2" s="1"/>
  <c r="E177" i="2" a="1"/>
  <c r="E177" i="2" s="1"/>
  <c r="E24" i="2" a="1"/>
  <c r="E24" i="2" s="1"/>
  <c r="E100" i="2" a="1"/>
  <c r="E100" i="2" s="1"/>
  <c r="E67" i="2" a="1"/>
  <c r="E67" i="2" s="1"/>
  <c r="E131" i="2" a="1"/>
  <c r="E131" i="2" s="1"/>
  <c r="E332" i="2" a="1"/>
  <c r="E332" i="2" s="1"/>
  <c r="E284" i="2" a="1"/>
  <c r="E284" i="2" s="1"/>
  <c r="E138" i="2" a="1"/>
  <c r="E138" i="2" s="1"/>
  <c r="E161" i="2" a="1"/>
  <c r="E161" i="2" s="1"/>
  <c r="E326" i="2" a="1"/>
  <c r="E326" i="2" s="1"/>
  <c r="E292" i="2" a="1"/>
  <c r="E292" i="2" s="1"/>
  <c r="E235" i="2" a="1"/>
  <c r="E235" i="2" s="1"/>
  <c r="E254" i="2" a="1"/>
  <c r="E254" i="2" s="1"/>
  <c r="E37" i="2" a="1"/>
  <c r="E37" i="2" s="1"/>
  <c r="E314" i="2" a="1"/>
  <c r="E314" i="2" s="1"/>
  <c r="E228" i="2" a="1"/>
  <c r="E228" i="2" s="1"/>
  <c r="E195" i="2" a="1"/>
  <c r="E195" i="2" s="1"/>
  <c r="E238" i="2" a="1"/>
  <c r="E238" i="2" s="1"/>
  <c r="E21" i="2" a="1"/>
  <c r="E21" i="2" s="1"/>
  <c r="E304" i="2" a="1"/>
  <c r="E304" i="2" s="1"/>
  <c r="E71" i="2" a="1"/>
  <c r="E71" i="2" s="1"/>
  <c r="E42" i="2" a="1"/>
  <c r="E42" i="2" s="1"/>
  <c r="E318" i="2" a="1"/>
  <c r="E318" i="2" s="1"/>
  <c r="E77" i="2" a="1"/>
  <c r="E77" i="2" s="1"/>
  <c r="E281" i="2" a="1"/>
  <c r="E281" i="2" s="1"/>
  <c r="E356" i="2" a="1"/>
  <c r="E356" i="2" s="1"/>
  <c r="E78" i="2" a="1"/>
  <c r="E78" i="2" s="1"/>
  <c r="E323" i="2" a="1"/>
  <c r="E323" i="2" s="1"/>
  <c r="E242" i="2" a="1"/>
  <c r="E242" i="2" s="1"/>
  <c r="E339" i="2" a="1"/>
  <c r="E339" i="2" s="1"/>
  <c r="E190" i="2" a="1"/>
  <c r="E190" i="2" s="1"/>
  <c r="E351" i="2" a="1"/>
  <c r="E351" i="2" s="1"/>
  <c r="E349" i="2" a="1"/>
  <c r="E349" i="2" s="1"/>
  <c r="E53" i="2" a="1"/>
  <c r="E53" i="2" s="1"/>
  <c r="E45" i="2" a="1"/>
  <c r="E45" i="2" s="1"/>
  <c r="E302" i="2" a="1"/>
  <c r="E302" i="2" s="1"/>
  <c r="E176" i="2" a="1"/>
  <c r="E176" i="2" s="1"/>
  <c r="E295" i="2" a="1"/>
  <c r="E295" i="2" s="1"/>
  <c r="E124" i="2" a="1"/>
  <c r="E124" i="2" s="1"/>
  <c r="E98" i="2" a="1"/>
  <c r="E98" i="2" s="1"/>
  <c r="E121" i="2" a="1"/>
  <c r="E121" i="2" s="1"/>
  <c r="E286" i="2" a="1"/>
  <c r="E286" i="2" s="1"/>
  <c r="E263" i="2" a="1"/>
  <c r="E263" i="2" s="1"/>
  <c r="E92" i="2" a="1"/>
  <c r="E92" i="2" s="1"/>
  <c r="E90" i="2" a="1"/>
  <c r="E90" i="2" s="1"/>
  <c r="E113" i="2" a="1"/>
  <c r="E113" i="2" s="1"/>
  <c r="E278" i="2" a="1"/>
  <c r="E278" i="2" s="1"/>
  <c r="E366" i="2" a="1"/>
  <c r="E366" i="2" s="1"/>
  <c r="E338" i="2" a="1"/>
  <c r="E338" i="2" s="1"/>
  <c r="E361" i="2" a="1"/>
  <c r="E361" i="2" s="1"/>
  <c r="E199" i="2" a="1"/>
  <c r="E199" i="2" s="1"/>
  <c r="E371" i="2" a="1"/>
  <c r="E371" i="2" s="1"/>
  <c r="E74" i="2" a="1"/>
  <c r="E74" i="2" s="1"/>
  <c r="E97" i="2" a="1"/>
  <c r="E97" i="2" s="1"/>
  <c r="E262" i="2" a="1"/>
  <c r="E262" i="2" s="1"/>
  <c r="E319" i="2" a="1"/>
  <c r="E319" i="2" s="1"/>
  <c r="E345" i="2" a="1"/>
  <c r="E345" i="2" s="1"/>
  <c r="E174" i="2" a="1"/>
  <c r="E174" i="2" s="1"/>
  <c r="E215" i="2" a="1"/>
  <c r="E215" i="2" s="1"/>
  <c r="E186" i="2" a="1"/>
  <c r="E186" i="2" s="1"/>
  <c r="E255" i="2" a="1"/>
  <c r="E255" i="2" s="1"/>
  <c r="E329" i="2" a="1"/>
  <c r="E329" i="2" s="1"/>
  <c r="E150" i="2" a="1"/>
  <c r="E150" i="2" s="1"/>
  <c r="E204" i="2" a="1"/>
  <c r="E204" i="2" s="1"/>
  <c r="E104" i="2" a="1"/>
  <c r="E104" i="2" s="1"/>
  <c r="E196" i="2" a="1"/>
  <c r="E196" i="2" s="1"/>
  <c r="E187" i="2" a="1"/>
  <c r="E187" i="2" s="1"/>
  <c r="E230" i="2" a="1"/>
  <c r="E230" i="2" s="1"/>
  <c r="E13" i="2" a="1"/>
  <c r="E13" i="2" s="1"/>
  <c r="E41" i="2" a="1"/>
  <c r="E41" i="2" s="1"/>
  <c r="E247" i="2" a="1"/>
  <c r="E247" i="2" s="1"/>
  <c r="E285" i="2" a="1"/>
  <c r="E285" i="2" s="1"/>
  <c r="E137" i="2" a="1"/>
  <c r="E137" i="2" s="1"/>
  <c r="E129" i="2" a="1"/>
  <c r="E129" i="2" s="1"/>
  <c r="E145" i="2" a="1"/>
  <c r="E145" i="2" s="1"/>
  <c r="E111" i="2" a="1"/>
  <c r="E111" i="2" s="1"/>
  <c r="E283" i="2" a="1"/>
  <c r="E283" i="2" s="1"/>
  <c r="E221" i="2" a="1"/>
  <c r="E221" i="2" s="1"/>
  <c r="E327" i="2" a="1"/>
  <c r="E327" i="2" s="1"/>
  <c r="E36" i="2" a="1"/>
  <c r="E36" i="2" s="1"/>
  <c r="E118" i="2" a="1"/>
  <c r="E118" i="2" s="1"/>
  <c r="E110" i="2" a="1"/>
  <c r="E110" i="2" s="1"/>
  <c r="E250" i="2" a="1"/>
  <c r="E250" i="2" s="1"/>
  <c r="E180" i="2" a="1"/>
  <c r="E180" i="2" s="1"/>
  <c r="E184" i="2" a="1"/>
  <c r="E184" i="2" s="1"/>
  <c r="E31" i="2" a="1"/>
  <c r="E31" i="2" s="1"/>
  <c r="E363" i="2" a="1"/>
  <c r="E363" i="2" s="1"/>
  <c r="E34" i="2" a="1"/>
  <c r="E34" i="2" s="1"/>
  <c r="E57" i="2" a="1"/>
  <c r="E57" i="2" s="1"/>
  <c r="E222" i="2" a="1"/>
  <c r="E222" i="2" s="1"/>
  <c r="E359" i="2" a="1"/>
  <c r="E359" i="2" s="1"/>
  <c r="E347" i="2" a="1"/>
  <c r="E347" i="2" s="1"/>
  <c r="E26" i="2" a="1"/>
  <c r="E26" i="2" s="1"/>
  <c r="E49" i="2" a="1"/>
  <c r="E49" i="2" s="1"/>
  <c r="E335" i="2" a="1"/>
  <c r="E335" i="2" s="1"/>
  <c r="E127" i="2" a="1"/>
  <c r="E127" i="2" s="1"/>
  <c r="E274" i="2" a="1"/>
  <c r="E274" i="2" s="1"/>
  <c r="E297" i="2" a="1"/>
  <c r="E297" i="2" s="1"/>
  <c r="E183" i="2" a="1"/>
  <c r="E183" i="2" s="1"/>
  <c r="E315" i="2" a="1"/>
  <c r="E315" i="2" s="1"/>
  <c r="E52" i="2" a="1"/>
  <c r="E52" i="2" s="1"/>
  <c r="E33" i="2" a="1"/>
  <c r="E33" i="2" s="1"/>
  <c r="E198" i="2" a="1"/>
  <c r="E198" i="2" s="1"/>
  <c r="E79" i="2" a="1"/>
  <c r="E79" i="2" s="1"/>
  <c r="E217" i="2" a="1"/>
  <c r="E217" i="2" s="1"/>
  <c r="E86" i="2" a="1"/>
  <c r="E86" i="2" s="1"/>
  <c r="E135" i="2" a="1"/>
  <c r="E135" i="2" s="1"/>
  <c r="E58" i="2" a="1"/>
  <c r="E58" i="2" s="1"/>
  <c r="E172" i="2" a="1"/>
  <c r="E172" i="2" s="1"/>
  <c r="E201" i="2" a="1"/>
  <c r="E201" i="2" s="1"/>
  <c r="E62" i="2" a="1"/>
  <c r="E62" i="2" s="1"/>
  <c r="E23" i="2" a="1"/>
  <c r="E23" i="2" s="1"/>
  <c r="E214" i="2" a="1"/>
  <c r="E214" i="2" s="1"/>
  <c r="E223" i="2" a="1"/>
  <c r="E223" i="2" s="1"/>
  <c r="E321" i="2" a="1"/>
  <c r="E321" i="2" s="1"/>
  <c r="E142" i="2" a="1"/>
  <c r="E142" i="2" s="1"/>
  <c r="E276" i="2" a="1"/>
  <c r="E276" i="2" s="1"/>
  <c r="E192" i="2" a="1"/>
  <c r="E192" i="2" s="1"/>
  <c r="E370" i="2" a="1"/>
  <c r="E370" i="2" s="1"/>
  <c r="E157" i="2" a="1"/>
  <c r="E157" i="2" s="1"/>
  <c r="E272" i="2" a="1"/>
  <c r="E272" i="2" s="1"/>
  <c r="E56" i="2" a="1"/>
  <c r="E56" i="2" s="1"/>
  <c r="E296" i="2" a="1"/>
  <c r="E296" i="2" s="1"/>
  <c r="E156" i="2" a="1"/>
  <c r="E156" i="2" s="1"/>
  <c r="E234" i="2" a="1"/>
  <c r="E234" i="2" s="1"/>
  <c r="E93" i="2" a="1"/>
  <c r="E93" i="2" s="1"/>
  <c r="E19" i="2" a="1"/>
  <c r="E19" i="2" s="1"/>
  <c r="E212" i="2" a="1"/>
  <c r="E212" i="2" s="1"/>
  <c r="E102" i="2" a="1"/>
  <c r="E102" i="2" s="1"/>
  <c r="E227" i="2" a="1"/>
  <c r="E227" i="2" s="1"/>
  <c r="E352" i="2" a="1"/>
  <c r="E352" i="2" s="1"/>
  <c r="E158" i="2" a="1"/>
  <c r="E158" i="2" s="1"/>
  <c r="E367" i="2" a="1"/>
  <c r="E367" i="2" s="1"/>
  <c r="E211" i="2" a="1"/>
  <c r="E211" i="2" s="1"/>
  <c r="E291" i="2" a="1"/>
  <c r="E291" i="2" s="1"/>
  <c r="E344" i="2" a="1"/>
  <c r="E344" i="2" s="1"/>
  <c r="E84" i="2" a="1"/>
  <c r="E84" i="2" s="1"/>
  <c r="E303" i="2" a="1"/>
  <c r="E303" i="2" s="1"/>
  <c r="E210" i="2" a="1"/>
  <c r="E210" i="2" s="1"/>
  <c r="E233" i="2" a="1"/>
  <c r="E233" i="2" s="1"/>
  <c r="E324" i="2" a="1"/>
  <c r="E324" i="2" s="1"/>
  <c r="E179" i="2" a="1"/>
  <c r="E179" i="2" s="1"/>
  <c r="E243" i="2" a="1"/>
  <c r="E243" i="2" s="1"/>
  <c r="E328" i="2" a="1"/>
  <c r="E328" i="2" s="1"/>
  <c r="E134" i="2" a="1"/>
  <c r="E134" i="2" s="1"/>
  <c r="E275" i="2" a="1"/>
  <c r="E275" i="2" s="1"/>
  <c r="E89" i="2" a="1"/>
  <c r="E89" i="2" s="1"/>
  <c r="E357" i="2" a="1"/>
  <c r="E357" i="2" s="1"/>
  <c r="E260" i="2" a="1"/>
  <c r="E260" i="2" s="1"/>
  <c r="E219" i="2" a="1"/>
  <c r="E219" i="2" s="1"/>
  <c r="E44" i="2" a="1"/>
  <c r="E44" i="2" s="1"/>
  <c r="E73" i="2" a="1"/>
  <c r="E73" i="2" s="1"/>
  <c r="E341" i="2" a="1"/>
  <c r="E341" i="2" s="1"/>
  <c r="E252" i="2" a="1"/>
  <c r="E252" i="2" s="1"/>
  <c r="E46" i="2" a="1"/>
  <c r="E46" i="2" s="1"/>
  <c r="E108" i="2" a="1"/>
  <c r="E108" i="2" s="1"/>
  <c r="E193" i="2" a="1"/>
  <c r="E193" i="2" s="1"/>
  <c r="E54" i="2" a="1"/>
  <c r="E54" i="2" s="1"/>
  <c r="E55" i="2" a="1"/>
  <c r="E55" i="2" s="1"/>
  <c r="E310" i="2" a="1"/>
  <c r="E310" i="2" s="1"/>
  <c r="E355" i="2" a="1"/>
  <c r="E355" i="2" s="1"/>
  <c r="E29" i="2" a="1"/>
  <c r="E29" i="2" s="1"/>
  <c r="E64" i="2" a="1"/>
  <c r="E64" i="2" s="1"/>
  <c r="E14" i="2" a="1"/>
  <c r="E14" i="2" s="1"/>
  <c r="E80" i="2" a="1"/>
  <c r="E80" i="2" s="1"/>
  <c r="E91" i="2" a="1"/>
  <c r="E91" i="2" s="1"/>
  <c r="E75" i="2" a="1"/>
  <c r="E75" i="2" s="1"/>
  <c r="E15" i="2" a="1"/>
  <c r="E15" i="2" s="1"/>
  <c r="E106" i="2" a="1"/>
  <c r="E106" i="2" s="1"/>
  <c r="E267" i="2" a="1"/>
  <c r="E267" i="2" s="1"/>
  <c r="E189" i="2" a="1"/>
  <c r="E189" i="2" s="1"/>
  <c r="E246" i="2" a="1"/>
  <c r="E246" i="2" s="1"/>
  <c r="E166" i="2" a="1"/>
  <c r="E166" i="2" s="1"/>
  <c r="E268" i="2" a="1"/>
  <c r="E268" i="2" s="1"/>
  <c r="E164" i="2" a="1"/>
  <c r="E164" i="2" s="1"/>
  <c r="E99" i="2" a="1"/>
  <c r="E99" i="2" s="1"/>
  <c r="E163" i="2" a="1"/>
  <c r="E163" i="2" s="1"/>
  <c r="E288" i="2" a="1"/>
  <c r="E288" i="2" s="1"/>
  <c r="E94" i="2" a="1"/>
  <c r="E94" i="2" s="1"/>
  <c r="E132" i="2" a="1"/>
  <c r="E132" i="2" s="1"/>
  <c r="E83" i="2" a="1"/>
  <c r="E83" i="2" s="1"/>
  <c r="E147" i="2" a="1"/>
  <c r="E147" i="2" s="1"/>
  <c r="E280" i="2" a="1"/>
  <c r="E280" i="2" s="1"/>
  <c r="E39" i="2" a="1"/>
  <c r="E39" i="2" s="1"/>
  <c r="E316" i="2" a="1"/>
  <c r="E316" i="2" s="1"/>
  <c r="E146" i="2" a="1"/>
  <c r="E146" i="2" s="1"/>
  <c r="E169" i="2" a="1"/>
  <c r="E169" i="2" s="1"/>
  <c r="E68" i="2" a="1"/>
  <c r="E68" i="2" s="1"/>
  <c r="E51" i="2" a="1"/>
  <c r="E51" i="2" s="1"/>
  <c r="E123" i="2" a="1"/>
  <c r="E123" i="2" s="1"/>
  <c r="E264" i="2" a="1"/>
  <c r="E264" i="2" s="1"/>
  <c r="E70" i="2" a="1"/>
  <c r="E70" i="2" s="1"/>
  <c r="E171" i="2" a="1"/>
  <c r="E171" i="2" s="1"/>
  <c r="E360" i="2" a="1"/>
  <c r="E360" i="2" s="1"/>
  <c r="E293" i="2" a="1"/>
  <c r="E293" i="2" s="1"/>
  <c r="E287" i="2" a="1"/>
  <c r="E287" i="2" s="1"/>
  <c r="E337" i="2" a="1"/>
  <c r="E337" i="2" s="1"/>
  <c r="E139" i="2" a="1"/>
  <c r="E139" i="2" s="1"/>
  <c r="E320" i="2" a="1"/>
  <c r="E320" i="2" s="1"/>
  <c r="E277" i="2" a="1"/>
  <c r="E277" i="2" s="1"/>
  <c r="E43" i="2" a="1"/>
  <c r="E43" i="2" s="1"/>
  <c r="E261" i="2" a="1"/>
  <c r="E261" i="2" s="1"/>
  <c r="E20" i="2" a="1"/>
  <c r="E20" i="2" s="1"/>
  <c r="E65" i="2" a="1"/>
  <c r="E65" i="2" s="1"/>
  <c r="E333" i="2" a="1"/>
  <c r="E333" i="2" s="1"/>
  <c r="E63" i="2" a="1"/>
  <c r="E63" i="2" s="1"/>
  <c r="E126" i="2" a="1"/>
  <c r="E126" i="2" s="1"/>
  <c r="E257" i="2" a="1"/>
  <c r="E257" i="2" s="1"/>
  <c r="E244" i="2" a="1"/>
  <c r="E244" i="2" s="1"/>
  <c r="E22" i="2" a="1"/>
  <c r="E22" i="2" s="1"/>
  <c r="E109" i="2" a="1"/>
  <c r="E109" i="2" s="1"/>
  <c r="E206" i="2" a="1"/>
  <c r="E206" i="2" s="1"/>
  <c r="E256" i="2" a="1"/>
  <c r="E256" i="2" s="1"/>
  <c r="E81" i="2" a="1"/>
  <c r="E81" i="2" s="1"/>
  <c r="E273" i="2" a="1"/>
  <c r="E273" i="2" s="1"/>
  <c r="E265" i="2" a="1"/>
  <c r="E265" i="2" s="1"/>
  <c r="E122" i="2" a="1"/>
  <c r="E122" i="2" s="1"/>
  <c r="E61" i="2" a="1"/>
  <c r="E61" i="2" s="1"/>
  <c r="E270" i="2" a="1"/>
  <c r="E270" i="2" s="1"/>
  <c r="E362" i="2" a="1"/>
  <c r="E362" i="2" s="1"/>
  <c r="E309" i="2" a="1"/>
  <c r="E309" i="2" s="1"/>
  <c r="E307" i="2" a="1"/>
  <c r="E307" i="2" s="1"/>
  <c r="E140" i="2" a="1"/>
  <c r="E140" i="2" s="1"/>
  <c r="E354" i="2" a="1"/>
  <c r="E354" i="2" s="1"/>
  <c r="E27" i="2" a="1"/>
  <c r="E27" i="2" s="1"/>
  <c r="E224" i="2" a="1"/>
  <c r="E224" i="2" s="1"/>
  <c r="E30" i="2" a="1"/>
  <c r="E30" i="2" s="1"/>
  <c r="E76" i="2" a="1"/>
  <c r="E76" i="2" s="1"/>
  <c r="E346" i="2" a="1"/>
  <c r="E346" i="2" s="1"/>
  <c r="E369" i="2" a="1"/>
  <c r="E369" i="2" s="1"/>
  <c r="E216" i="2" a="1"/>
  <c r="E216" i="2" s="1"/>
  <c r="E231" i="2" a="1"/>
  <c r="E231" i="2" s="1"/>
  <c r="E60" i="2" a="1"/>
  <c r="E60" i="2" s="1"/>
  <c r="E82" i="2" a="1"/>
  <c r="E82" i="2" s="1"/>
  <c r="E105" i="2" a="1"/>
  <c r="E105" i="2" s="1"/>
  <c r="E343" i="2" a="1"/>
  <c r="E343" i="2" s="1"/>
  <c r="E330" i="2" a="1"/>
  <c r="E330" i="2" s="1"/>
  <c r="E353" i="2" a="1"/>
  <c r="E353" i="2" s="1"/>
  <c r="E200" i="2" a="1"/>
  <c r="E200" i="2" s="1"/>
  <c r="E365" i="2" a="1"/>
  <c r="E365" i="2" s="1"/>
  <c r="E322" i="2" a="1"/>
  <c r="E322" i="2" s="1"/>
  <c r="E248" i="2" a="1"/>
  <c r="E248" i="2" s="1"/>
  <c r="E229" i="2" a="1"/>
  <c r="E229" i="2" s="1"/>
  <c r="E300" i="2" a="1"/>
  <c r="E300" i="2" s="1"/>
  <c r="E209" i="2" a="1"/>
  <c r="E209" i="2" s="1"/>
  <c r="E306" i="2" a="1"/>
  <c r="E306" i="2" s="1"/>
  <c r="E232" i="2" a="1"/>
  <c r="E232" i="2" s="1"/>
  <c r="E213" i="2" a="1"/>
  <c r="E213" i="2" s="1"/>
  <c r="E258" i="2" a="1"/>
  <c r="E258" i="2" s="1"/>
  <c r="E133" i="2" a="1"/>
  <c r="E133" i="2" s="1"/>
  <c r="E115" i="2" a="1"/>
  <c r="E115" i="2" s="1"/>
  <c r="E312" i="2" a="1"/>
  <c r="E312" i="2" s="1"/>
  <c r="E269" i="2" a="1"/>
  <c r="E269" i="2" s="1"/>
  <c r="E299" i="2" a="1"/>
  <c r="E299" i="2" s="1"/>
  <c r="E325" i="2" a="1"/>
  <c r="E325" i="2" s="1"/>
  <c r="E336" i="2" a="1"/>
  <c r="E336" i="2" s="1"/>
  <c r="E143" i="2" a="1"/>
  <c r="E143" i="2" s="1"/>
  <c r="E245" i="2" a="1"/>
  <c r="E245" i="2" s="1"/>
  <c r="E271" i="2" a="1"/>
  <c r="E271" i="2" s="1"/>
  <c r="E38" i="2" a="1"/>
  <c r="E38" i="2" s="1"/>
  <c r="E182" i="2" a="1"/>
  <c r="E182" i="2" s="1"/>
  <c r="E240" i="2" a="1"/>
  <c r="E240" i="2" s="1"/>
  <c r="E17" i="2" a="1"/>
  <c r="E17" i="2" s="1"/>
  <c r="E368" i="2" a="1"/>
  <c r="E368" i="2" s="1"/>
  <c r="E59" i="2" a="1"/>
  <c r="E59" i="2" s="1"/>
  <c r="E350" i="2" a="1"/>
  <c r="E350" i="2" s="1"/>
  <c r="E301" i="2" a="1"/>
  <c r="E301" i="2" s="1"/>
  <c r="E403" i="2" a="1"/>
  <c r="E403" i="2" s="1"/>
  <c r="E409" i="2" a="1"/>
  <c r="E409" i="2" s="1"/>
  <c r="E422" i="2" a="1"/>
  <c r="E422" i="2" s="1"/>
  <c r="E394" i="2" a="1"/>
  <c r="E394" i="2" s="1"/>
  <c r="E407" i="2" a="1"/>
  <c r="E407" i="2" s="1"/>
  <c r="E413" i="2" a="1"/>
  <c r="E413" i="2" s="1"/>
  <c r="E397" i="2" a="1"/>
  <c r="E397" i="2" s="1"/>
  <c r="E428" i="2" a="1"/>
  <c r="E428" i="2" s="1"/>
  <c r="E425" i="2" a="1"/>
  <c r="E425" i="2" s="1"/>
  <c r="E396" i="2" a="1"/>
  <c r="E396" i="2" s="1"/>
  <c r="E402" i="2" a="1"/>
  <c r="E402" i="2" s="1"/>
  <c r="E400" i="2" a="1"/>
  <c r="E400" i="2" s="1"/>
  <c r="E414" i="2" a="1"/>
  <c r="E414" i="2" s="1"/>
  <c r="E386" i="2" a="1"/>
  <c r="E386" i="2" s="1"/>
  <c r="E405" i="2" a="1"/>
  <c r="E405" i="2" s="1"/>
  <c r="E383" i="2" a="1"/>
  <c r="E383" i="2" s="1"/>
  <c r="E431" i="2" a="1"/>
  <c r="E431" i="2" s="1"/>
  <c r="E418" i="2" a="1"/>
  <c r="E418" i="2" s="1"/>
  <c r="E389" i="2" a="1"/>
  <c r="E389" i="2" s="1"/>
  <c r="E388" i="2" a="1"/>
  <c r="E388" i="2" s="1"/>
  <c r="E380" i="2" a="1"/>
  <c r="E380" i="2" s="1"/>
  <c r="E393" i="2" a="1"/>
  <c r="E393" i="2" s="1"/>
  <c r="E406" i="2" a="1"/>
  <c r="E406" i="2" s="1"/>
  <c r="E398" i="2" a="1"/>
  <c r="E398" i="2" s="1"/>
  <c r="E378" i="2" a="1"/>
  <c r="E378" i="2" s="1"/>
  <c r="E387" i="2" a="1"/>
  <c r="E387" i="2" s="1"/>
  <c r="E411" i="2" a="1"/>
  <c r="E411" i="2" s="1"/>
  <c r="E382" i="2" a="1"/>
  <c r="E382" i="2" s="1"/>
  <c r="E376" i="2" a="1"/>
  <c r="E376" i="2" s="1"/>
  <c r="E421" i="2" a="1"/>
  <c r="E421" i="2" s="1"/>
  <c r="E374" i="2" a="1"/>
  <c r="E374" i="2" s="1"/>
  <c r="E429" i="2" a="1"/>
  <c r="E429" i="2" s="1"/>
  <c r="E391" i="2" a="1"/>
  <c r="E391" i="2" s="1"/>
  <c r="E372" i="2" a="1"/>
  <c r="E372" i="2" s="1"/>
  <c r="E424" i="2" a="1"/>
  <c r="E424" i="2" s="1"/>
  <c r="E373" i="2" a="1"/>
  <c r="E373" i="2" s="1"/>
  <c r="E423" i="2" a="1"/>
  <c r="E423" i="2" s="1"/>
  <c r="E395" i="2" a="1"/>
  <c r="E395" i="2" s="1"/>
  <c r="E426" i="2" a="1"/>
  <c r="E426" i="2" s="1"/>
  <c r="E404" i="2" a="1"/>
  <c r="E404" i="2" s="1"/>
  <c r="E377" i="2" a="1"/>
  <c r="E377" i="2" s="1"/>
  <c r="E401" i="2" a="1"/>
  <c r="E401" i="2" s="1"/>
  <c r="E385" i="2" a="1"/>
  <c r="E385" i="2" s="1"/>
  <c r="E392" i="2" a="1"/>
  <c r="E392" i="2" s="1"/>
  <c r="E379" i="2" a="1"/>
  <c r="E379" i="2" s="1"/>
  <c r="E384" i="2" a="1"/>
  <c r="E384" i="2" s="1"/>
  <c r="E399" i="2" a="1"/>
  <c r="E399" i="2" s="1"/>
  <c r="E427" i="2" a="1"/>
  <c r="E427" i="2" s="1"/>
  <c r="E390" i="2" a="1"/>
  <c r="E390" i="2" s="1"/>
  <c r="E410" i="2" a="1"/>
  <c r="E410" i="2" s="1"/>
  <c r="E416" i="2" a="1"/>
  <c r="E416" i="2" s="1"/>
  <c r="E375" i="2" a="1"/>
  <c r="E375" i="2" s="1"/>
  <c r="E415" i="2" a="1"/>
  <c r="E415" i="2" s="1"/>
  <c r="E408" i="2" a="1"/>
  <c r="E408" i="2" s="1"/>
  <c r="E420" i="2" a="1"/>
  <c r="E420" i="2" s="1"/>
  <c r="E419" i="2" a="1"/>
  <c r="E419" i="2" s="1"/>
  <c r="E412" i="2" a="1"/>
  <c r="E412" i="2" s="1"/>
  <c r="E417" i="2" a="1"/>
  <c r="E417" i="2" s="1"/>
  <c r="E381" i="2" a="1"/>
  <c r="E381" i="2" s="1"/>
  <c r="E430" i="2" a="1"/>
  <c r="E430" i="2" s="1"/>
  <c r="E236" i="2" a="1"/>
  <c r="E236" i="2" s="1"/>
  <c r="E317" i="2" a="1"/>
  <c r="E317" i="2" s="1"/>
  <c r="E181" i="2" a="1"/>
  <c r="E181" i="2" s="1"/>
  <c r="E340" i="2" a="1"/>
  <c r="E340" i="2" s="1"/>
  <c r="R9" i="3"/>
  <c r="P10" i="3" s="1"/>
  <c r="H11" i="2" a="1"/>
  <c r="H11" i="2" s="1"/>
  <c r="F12" i="2" s="1"/>
  <c r="J12" i="2" s="1"/>
  <c r="E12" i="2" a="1"/>
  <c r="E12" i="2" s="1"/>
  <c r="D273" i="3"/>
  <c r="C273" i="3" s="1"/>
  <c r="G273" i="3" s="1"/>
  <c r="D13" i="3"/>
  <c r="C13" i="3" s="1"/>
  <c r="G13" i="3" s="1"/>
  <c r="D131" i="3"/>
  <c r="C131" i="3" s="1"/>
  <c r="G131" i="3" s="1"/>
  <c r="D77" i="3"/>
  <c r="C77" i="3" s="1"/>
  <c r="G77" i="3" s="1"/>
  <c r="D143" i="3"/>
  <c r="C143" i="3" s="1"/>
  <c r="G143" i="3" s="1"/>
  <c r="D231" i="3"/>
  <c r="C231" i="3" s="1"/>
  <c r="G231" i="3" s="1"/>
  <c r="D141" i="3"/>
  <c r="C141" i="3" s="1"/>
  <c r="G141" i="3" s="1"/>
  <c r="D89" i="3"/>
  <c r="C89" i="3" s="1"/>
  <c r="G89" i="3" s="1"/>
  <c r="D120" i="3"/>
  <c r="C120" i="3" s="1"/>
  <c r="G120" i="3" s="1"/>
  <c r="D101" i="3"/>
  <c r="C101" i="3" s="1"/>
  <c r="G101" i="3" s="1"/>
  <c r="D117" i="3"/>
  <c r="C117" i="3" s="1"/>
  <c r="G117" i="3" s="1"/>
  <c r="D363" i="3"/>
  <c r="C363" i="3" s="1"/>
  <c r="G363" i="3" s="1"/>
  <c r="D369" i="3"/>
  <c r="C369" i="3" s="1"/>
  <c r="G369" i="3" s="1"/>
  <c r="D68" i="3"/>
  <c r="C68" i="3" s="1"/>
  <c r="G68" i="3" s="1"/>
  <c r="D106" i="3"/>
  <c r="C106" i="3" s="1"/>
  <c r="G106" i="3" s="1"/>
  <c r="D102" i="3"/>
  <c r="C102" i="3" s="1"/>
  <c r="G102" i="3" s="1"/>
  <c r="D25" i="3"/>
  <c r="C25" i="3" s="1"/>
  <c r="G25" i="3" s="1"/>
  <c r="D145" i="3"/>
  <c r="C145" i="3" s="1"/>
  <c r="G145" i="3" s="1"/>
  <c r="D248" i="3"/>
  <c r="C248" i="3" s="1"/>
  <c r="G248" i="3" s="1"/>
  <c r="D64" i="3"/>
  <c r="C64" i="3" s="1"/>
  <c r="G64" i="3" s="1"/>
  <c r="D147" i="3"/>
  <c r="C147" i="3" s="1"/>
  <c r="G147" i="3" s="1"/>
  <c r="D130" i="3"/>
  <c r="C130" i="3" s="1"/>
  <c r="G130" i="3" s="1"/>
  <c r="D51" i="3"/>
  <c r="C51" i="3" s="1"/>
  <c r="G51" i="3" s="1"/>
  <c r="D132" i="3"/>
  <c r="C132" i="3" s="1"/>
  <c r="G132" i="3" s="1"/>
  <c r="D38" i="3"/>
  <c r="C38" i="3" s="1"/>
  <c r="G38" i="3" s="1"/>
  <c r="D71" i="3"/>
  <c r="C71" i="3" s="1"/>
  <c r="G71" i="3" s="1"/>
  <c r="D212" i="3"/>
  <c r="C212" i="3" s="1"/>
  <c r="G212" i="3" s="1"/>
  <c r="D354" i="3"/>
  <c r="C354" i="3" s="1"/>
  <c r="G354" i="3" s="1"/>
  <c r="D283" i="3"/>
  <c r="C283" i="3" s="1"/>
  <c r="G283" i="3" s="1"/>
  <c r="D276" i="3"/>
  <c r="C276" i="3" s="1"/>
  <c r="G276" i="3" s="1"/>
  <c r="D259" i="3"/>
  <c r="C259" i="3" s="1"/>
  <c r="G259" i="3" s="1"/>
  <c r="D134" i="3"/>
  <c r="C134" i="3" s="1"/>
  <c r="G134" i="3" s="1"/>
  <c r="D95" i="3"/>
  <c r="C95" i="3" s="1"/>
  <c r="G95" i="3" s="1"/>
  <c r="D186" i="3"/>
  <c r="C186" i="3" s="1"/>
  <c r="G186" i="3" s="1"/>
  <c r="D209" i="3"/>
  <c r="C209" i="3" s="1"/>
  <c r="G209" i="3" s="1"/>
  <c r="D255" i="3"/>
  <c r="C255" i="3" s="1"/>
  <c r="G255" i="3" s="1"/>
  <c r="D300" i="3"/>
  <c r="C300" i="3" s="1"/>
  <c r="G300" i="3" s="1"/>
  <c r="D111" i="3"/>
  <c r="C111" i="3" s="1"/>
  <c r="G111" i="3" s="1"/>
  <c r="D154" i="3"/>
  <c r="C154" i="3" s="1"/>
  <c r="G154" i="3" s="1"/>
  <c r="D359" i="3"/>
  <c r="C359" i="3" s="1"/>
  <c r="G359" i="3" s="1"/>
  <c r="D314" i="3"/>
  <c r="C314" i="3" s="1"/>
  <c r="G314" i="3" s="1"/>
  <c r="D185" i="3"/>
  <c r="C185" i="3" s="1"/>
  <c r="G185" i="3" s="1"/>
  <c r="D104" i="3"/>
  <c r="C104" i="3" s="1"/>
  <c r="G104" i="3" s="1"/>
  <c r="D243" i="3"/>
  <c r="C243" i="3" s="1"/>
  <c r="G243" i="3" s="1"/>
  <c r="D281" i="3"/>
  <c r="C281" i="3" s="1"/>
  <c r="G281" i="3" s="1"/>
  <c r="D135" i="3"/>
  <c r="C135" i="3" s="1"/>
  <c r="G135" i="3" s="1"/>
  <c r="D207" i="3"/>
  <c r="C207" i="3" s="1"/>
  <c r="G207" i="3" s="1"/>
  <c r="D219" i="3"/>
  <c r="C219" i="3" s="1"/>
  <c r="G219" i="3" s="1"/>
  <c r="D252" i="3"/>
  <c r="C252" i="3" s="1"/>
  <c r="G252" i="3" s="1"/>
  <c r="D328" i="3"/>
  <c r="C328" i="3" s="1"/>
  <c r="G328" i="3" s="1"/>
  <c r="D166" i="3"/>
  <c r="C166" i="3" s="1"/>
  <c r="G166" i="3" s="1"/>
  <c r="D340" i="3"/>
  <c r="C340" i="3" s="1"/>
  <c r="G340" i="3" s="1"/>
  <c r="D323" i="3"/>
  <c r="C323" i="3" s="1"/>
  <c r="G323" i="3" s="1"/>
  <c r="D196" i="3"/>
  <c r="C196" i="3" s="1"/>
  <c r="G196" i="3" s="1"/>
  <c r="D337" i="3"/>
  <c r="C337" i="3" s="1"/>
  <c r="G337" i="3" s="1"/>
  <c r="D213" i="3"/>
  <c r="C213" i="3" s="1"/>
  <c r="G213" i="3" s="1"/>
  <c r="D202" i="3"/>
  <c r="C202" i="3" s="1"/>
  <c r="G202" i="3" s="1"/>
  <c r="D225" i="3"/>
  <c r="C225" i="3" s="1"/>
  <c r="G225" i="3" s="1"/>
  <c r="D28" i="3"/>
  <c r="C28" i="3" s="1"/>
  <c r="G28" i="3" s="1"/>
  <c r="D100" i="3"/>
  <c r="C100" i="3" s="1"/>
  <c r="G100" i="3" s="1"/>
  <c r="D124" i="3"/>
  <c r="C124" i="3" s="1"/>
  <c r="G124" i="3" s="1"/>
  <c r="D72" i="3"/>
  <c r="C72" i="3" s="1"/>
  <c r="G72" i="3" s="1"/>
  <c r="D115" i="3"/>
  <c r="C115" i="3" s="1"/>
  <c r="G115" i="3" s="1"/>
  <c r="D153" i="3"/>
  <c r="C153" i="3" s="1"/>
  <c r="G153" i="3" s="1"/>
  <c r="D161" i="3"/>
  <c r="C161" i="3" s="1"/>
  <c r="G161" i="3" s="1"/>
  <c r="D192" i="3"/>
  <c r="C192" i="3" s="1"/>
  <c r="G192" i="3" s="1"/>
  <c r="D121" i="3"/>
  <c r="C121" i="3" s="1"/>
  <c r="G121" i="3" s="1"/>
  <c r="D55" i="3"/>
  <c r="C55" i="3" s="1"/>
  <c r="G55" i="3" s="1"/>
  <c r="D78" i="3"/>
  <c r="C78" i="3" s="1"/>
  <c r="G78" i="3" s="1"/>
  <c r="D250" i="3"/>
  <c r="C250" i="3" s="1"/>
  <c r="G250" i="3" s="1"/>
  <c r="D40" i="3"/>
  <c r="C40" i="3" s="1"/>
  <c r="G40" i="3" s="1"/>
  <c r="D179" i="3"/>
  <c r="C179" i="3" s="1"/>
  <c r="G179" i="3" s="1"/>
  <c r="D217" i="3"/>
  <c r="C217" i="3" s="1"/>
  <c r="G217" i="3" s="1"/>
  <c r="D110" i="3"/>
  <c r="C110" i="3" s="1"/>
  <c r="G110" i="3" s="1"/>
  <c r="D119" i="3"/>
  <c r="C119" i="3" s="1"/>
  <c r="G119" i="3" s="1"/>
  <c r="D256" i="3"/>
  <c r="C256" i="3" s="1"/>
  <c r="G256" i="3" s="1"/>
  <c r="D298" i="3"/>
  <c r="C298" i="3" s="1"/>
  <c r="G298" i="3" s="1"/>
  <c r="D91" i="3"/>
  <c r="C91" i="3" s="1"/>
  <c r="G91" i="3" s="1"/>
  <c r="D199" i="3"/>
  <c r="C199" i="3" s="1"/>
  <c r="G199" i="3" s="1"/>
  <c r="D155" i="3"/>
  <c r="C155" i="3" s="1"/>
  <c r="G155" i="3" s="1"/>
  <c r="D279" i="3"/>
  <c r="C279" i="3" s="1"/>
  <c r="G279" i="3" s="1"/>
  <c r="D322" i="3"/>
  <c r="C322" i="3" s="1"/>
  <c r="G322" i="3" s="1"/>
  <c r="D260" i="3"/>
  <c r="C260" i="3" s="1"/>
  <c r="G260" i="3" s="1"/>
  <c r="D286" i="3"/>
  <c r="C286" i="3" s="1"/>
  <c r="G286" i="3" s="1"/>
  <c r="D175" i="3"/>
  <c r="C175" i="3" s="1"/>
  <c r="G175" i="3" s="1"/>
  <c r="D277" i="3"/>
  <c r="C277" i="3" s="1"/>
  <c r="G277" i="3" s="1"/>
  <c r="D266" i="3"/>
  <c r="C266" i="3" s="1"/>
  <c r="G266" i="3" s="1"/>
  <c r="D174" i="3"/>
  <c r="C174" i="3" s="1"/>
  <c r="G174" i="3" s="1"/>
  <c r="D353" i="3"/>
  <c r="C353" i="3" s="1"/>
  <c r="G353" i="3" s="1"/>
  <c r="D47" i="3"/>
  <c r="C47" i="3" s="1"/>
  <c r="G47" i="3" s="1"/>
  <c r="D54" i="3"/>
  <c r="C54" i="3" s="1"/>
  <c r="G54" i="3" s="1"/>
  <c r="D320" i="3"/>
  <c r="C320" i="3" s="1"/>
  <c r="G320" i="3" s="1"/>
  <c r="D126" i="3"/>
  <c r="C126" i="3" s="1"/>
  <c r="G126" i="3" s="1"/>
  <c r="D43" i="3"/>
  <c r="C43" i="3" s="1"/>
  <c r="G43" i="3" s="1"/>
  <c r="D324" i="3"/>
  <c r="C324" i="3" s="1"/>
  <c r="G324" i="3" s="1"/>
  <c r="D168" i="3"/>
  <c r="C168" i="3" s="1"/>
  <c r="G168" i="3" s="1"/>
  <c r="D167" i="3"/>
  <c r="C167" i="3" s="1"/>
  <c r="G167" i="3" s="1"/>
  <c r="D307" i="3"/>
  <c r="C307" i="3" s="1"/>
  <c r="G307" i="3" s="1"/>
  <c r="D341" i="3"/>
  <c r="C341" i="3" s="1"/>
  <c r="G341" i="3" s="1"/>
  <c r="D59" i="3"/>
  <c r="C59" i="3" s="1"/>
  <c r="G59" i="3" s="1"/>
  <c r="D221" i="3"/>
  <c r="C221" i="3" s="1"/>
  <c r="G221" i="3" s="1"/>
  <c r="D318" i="3"/>
  <c r="C318" i="3" s="1"/>
  <c r="G318" i="3" s="1"/>
  <c r="D39" i="3"/>
  <c r="C39" i="3" s="1"/>
  <c r="G39" i="3" s="1"/>
  <c r="D118" i="3"/>
  <c r="C118" i="3" s="1"/>
  <c r="G118" i="3" s="1"/>
  <c r="D41" i="3"/>
  <c r="C41" i="3" s="1"/>
  <c r="G41" i="3" s="1"/>
  <c r="D270" i="3"/>
  <c r="C270" i="3" s="1"/>
  <c r="G270" i="3" s="1"/>
  <c r="D211" i="3"/>
  <c r="C211" i="3" s="1"/>
  <c r="G211" i="3" s="1"/>
  <c r="D347" i="3"/>
  <c r="C347" i="3" s="1"/>
  <c r="G347" i="3" s="1"/>
  <c r="D164" i="3"/>
  <c r="C164" i="3" s="1"/>
  <c r="G164" i="3" s="1"/>
  <c r="D22" i="3"/>
  <c r="C22" i="3" s="1"/>
  <c r="G22" i="3" s="1"/>
  <c r="D311" i="3"/>
  <c r="C311" i="3" s="1"/>
  <c r="G311" i="3" s="1"/>
  <c r="D107" i="3"/>
  <c r="C107" i="3" s="1"/>
  <c r="G107" i="3" s="1"/>
  <c r="D158" i="3"/>
  <c r="C158" i="3" s="1"/>
  <c r="G158" i="3" s="1"/>
  <c r="D232" i="3"/>
  <c r="C232" i="3" s="1"/>
  <c r="G232" i="3" s="1"/>
  <c r="E9" i="3"/>
  <c r="D9" i="3" s="1"/>
  <c r="D268" i="3"/>
  <c r="C268" i="3" s="1"/>
  <c r="G268" i="3" s="1"/>
  <c r="D48" i="3"/>
  <c r="C48" i="3" s="1"/>
  <c r="G48" i="3" s="1"/>
  <c r="D123" i="3"/>
  <c r="C123" i="3" s="1"/>
  <c r="G123" i="3" s="1"/>
  <c r="D349" i="3"/>
  <c r="C349" i="3" s="1"/>
  <c r="G349" i="3" s="1"/>
  <c r="D87" i="3"/>
  <c r="C87" i="3" s="1"/>
  <c r="G87" i="3" s="1"/>
  <c r="D82" i="3"/>
  <c r="C82" i="3" s="1"/>
  <c r="G82" i="3" s="1"/>
  <c r="D182" i="3"/>
  <c r="C182" i="3" s="1"/>
  <c r="G182" i="3" s="1"/>
  <c r="D361" i="3"/>
  <c r="C361" i="3" s="1"/>
  <c r="G361" i="3" s="1"/>
  <c r="D109" i="3"/>
  <c r="C109" i="3" s="1"/>
  <c r="G109" i="3" s="1"/>
  <c r="D236" i="3"/>
  <c r="C236" i="3" s="1"/>
  <c r="G236" i="3" s="1"/>
  <c r="D244" i="3"/>
  <c r="C244" i="3" s="1"/>
  <c r="G244" i="3" s="1"/>
  <c r="D45" i="3"/>
  <c r="C45" i="3" s="1"/>
  <c r="G45" i="3" s="1"/>
  <c r="D98" i="3"/>
  <c r="C98" i="3" s="1"/>
  <c r="G98" i="3" s="1"/>
  <c r="D160" i="3"/>
  <c r="C160" i="3" s="1"/>
  <c r="G160" i="3" s="1"/>
  <c r="D239" i="3"/>
  <c r="C239" i="3" s="1"/>
  <c r="G239" i="3" s="1"/>
  <c r="D171" i="3"/>
  <c r="C171" i="3" s="1"/>
  <c r="G171" i="3" s="1"/>
  <c r="D222" i="3"/>
  <c r="C222" i="3" s="1"/>
  <c r="G222" i="3" s="1"/>
  <c r="D296" i="3"/>
  <c r="C296" i="3" s="1"/>
  <c r="G296" i="3" s="1"/>
  <c r="D66" i="3"/>
  <c r="C66" i="3" s="1"/>
  <c r="G66" i="3" s="1"/>
  <c r="D332" i="3"/>
  <c r="C332" i="3" s="1"/>
  <c r="G332" i="3" s="1"/>
  <c r="D112" i="3"/>
  <c r="C112" i="3" s="1"/>
  <c r="G112" i="3" s="1"/>
  <c r="D187" i="3"/>
  <c r="C187" i="3" s="1"/>
  <c r="G187" i="3" s="1"/>
  <c r="D56" i="3"/>
  <c r="C56" i="3" s="1"/>
  <c r="G56" i="3" s="1"/>
  <c r="D67" i="3"/>
  <c r="C67" i="3" s="1"/>
  <c r="G67" i="3" s="1"/>
  <c r="D37" i="3"/>
  <c r="C37" i="3" s="1"/>
  <c r="G37" i="3" s="1"/>
  <c r="D334" i="3"/>
  <c r="C334" i="3" s="1"/>
  <c r="G334" i="3" s="1"/>
  <c r="D365" i="3"/>
  <c r="C365" i="3" s="1"/>
  <c r="G365" i="3" s="1"/>
  <c r="D364" i="3"/>
  <c r="C364" i="3" s="1"/>
  <c r="G364" i="3" s="1"/>
  <c r="D280" i="3"/>
  <c r="C280" i="3" s="1"/>
  <c r="G280" i="3" s="1"/>
  <c r="D350" i="3"/>
  <c r="C350" i="3" s="1"/>
  <c r="G350" i="3" s="1"/>
  <c r="D226" i="3"/>
  <c r="C226" i="3" s="1"/>
  <c r="G226" i="3" s="1"/>
  <c r="D31" i="3"/>
  <c r="C31" i="3" s="1"/>
  <c r="D216" i="3"/>
  <c r="C216" i="3" s="1"/>
  <c r="G216" i="3" s="1"/>
  <c r="D223" i="3"/>
  <c r="C223" i="3" s="1"/>
  <c r="G223" i="3" s="1"/>
  <c r="D242" i="3"/>
  <c r="C242" i="3" s="1"/>
  <c r="G242" i="3" s="1"/>
  <c r="D50" i="3"/>
  <c r="C50" i="3" s="1"/>
  <c r="G50" i="3" s="1"/>
  <c r="D267" i="3"/>
  <c r="C267" i="3" s="1"/>
  <c r="G267" i="3" s="1"/>
  <c r="D24" i="3"/>
  <c r="C24" i="3" s="1"/>
  <c r="G24" i="3" s="1"/>
  <c r="D326" i="3"/>
  <c r="C326" i="3" s="1"/>
  <c r="G326" i="3" s="1"/>
  <c r="D83" i="3"/>
  <c r="C83" i="3" s="1"/>
  <c r="G83" i="3" s="1"/>
  <c r="D241" i="3"/>
  <c r="C241" i="3" s="1"/>
  <c r="G241" i="3" s="1"/>
  <c r="D331" i="3"/>
  <c r="C331" i="3" s="1"/>
  <c r="G331" i="3" s="1"/>
  <c r="D297" i="3"/>
  <c r="C297" i="3" s="1"/>
  <c r="G297" i="3" s="1"/>
  <c r="D357" i="3"/>
  <c r="C357" i="3" s="1"/>
  <c r="G357" i="3" s="1"/>
  <c r="D284" i="3"/>
  <c r="C284" i="3" s="1"/>
  <c r="G284" i="3" s="1"/>
  <c r="D362" i="3"/>
  <c r="C362" i="3" s="1"/>
  <c r="G362" i="3" s="1"/>
  <c r="D97" i="3"/>
  <c r="C97" i="3" s="1"/>
  <c r="G97" i="3" s="1"/>
  <c r="D157" i="3"/>
  <c r="C157" i="3" s="1"/>
  <c r="G157" i="3" s="1"/>
  <c r="D84" i="3"/>
  <c r="C84" i="3" s="1"/>
  <c r="G84" i="3" s="1"/>
  <c r="D138" i="3"/>
  <c r="C138" i="3" s="1"/>
  <c r="G138" i="3" s="1"/>
  <c r="D368" i="3"/>
  <c r="C368" i="3" s="1"/>
  <c r="G368" i="3" s="1"/>
  <c r="D149" i="3"/>
  <c r="C149" i="3" s="1"/>
  <c r="G149" i="3" s="1"/>
  <c r="D140" i="3"/>
  <c r="C140" i="3" s="1"/>
  <c r="G140" i="3" s="1"/>
  <c r="D330" i="3"/>
  <c r="C330" i="3" s="1"/>
  <c r="G330" i="3" s="1"/>
  <c r="D247" i="3"/>
  <c r="C247" i="3" s="1"/>
  <c r="G247" i="3" s="1"/>
  <c r="D81" i="3"/>
  <c r="C81" i="3" s="1"/>
  <c r="G81" i="3" s="1"/>
  <c r="D333" i="3"/>
  <c r="C333" i="3" s="1"/>
  <c r="G333" i="3" s="1"/>
  <c r="D94" i="3"/>
  <c r="C94" i="3" s="1"/>
  <c r="G94" i="3" s="1"/>
  <c r="D299" i="3"/>
  <c r="C299" i="3" s="1"/>
  <c r="G299" i="3" s="1"/>
  <c r="D122" i="3"/>
  <c r="C122" i="3" s="1"/>
  <c r="G122" i="3" s="1"/>
  <c r="D159" i="3"/>
  <c r="C159" i="3" s="1"/>
  <c r="G159" i="3" s="1"/>
  <c r="D224" i="3"/>
  <c r="C224" i="3" s="1"/>
  <c r="G224" i="3" s="1"/>
  <c r="D208" i="3"/>
  <c r="C208" i="3" s="1"/>
  <c r="G208" i="3" s="1"/>
  <c r="D366" i="3"/>
  <c r="C366" i="3" s="1"/>
  <c r="G366" i="3" s="1"/>
  <c r="D295" i="3"/>
  <c r="C295" i="3" s="1"/>
  <c r="G295" i="3" s="1"/>
  <c r="D139" i="3"/>
  <c r="C139" i="3" s="1"/>
  <c r="G139" i="3" s="1"/>
  <c r="D253" i="3"/>
  <c r="C253" i="3" s="1"/>
  <c r="G253" i="3" s="1"/>
  <c r="D272" i="3"/>
  <c r="C272" i="3" s="1"/>
  <c r="G272" i="3" s="1"/>
  <c r="D162" i="3"/>
  <c r="C162" i="3" s="1"/>
  <c r="G162" i="3" s="1"/>
  <c r="D113" i="3"/>
  <c r="C113" i="3" s="1"/>
  <c r="G113" i="3" s="1"/>
  <c r="D75" i="3"/>
  <c r="C75" i="3" s="1"/>
  <c r="G75" i="3" s="1"/>
  <c r="D169" i="3"/>
  <c r="C169" i="3" s="1"/>
  <c r="G169" i="3" s="1"/>
  <c r="D293" i="3"/>
  <c r="C293" i="3" s="1"/>
  <c r="G293" i="3" s="1"/>
  <c r="D220" i="3"/>
  <c r="C220" i="3" s="1"/>
  <c r="G220" i="3" s="1"/>
  <c r="D210" i="3"/>
  <c r="C210" i="3" s="1"/>
  <c r="G210" i="3" s="1"/>
  <c r="D346" i="3"/>
  <c r="C346" i="3" s="1"/>
  <c r="G346" i="3" s="1"/>
  <c r="D93" i="3"/>
  <c r="C93" i="3" s="1"/>
  <c r="G93" i="3" s="1"/>
  <c r="D20" i="3"/>
  <c r="C20" i="3" s="1"/>
  <c r="G20" i="3" s="1"/>
  <c r="D10" i="3"/>
  <c r="C10" i="3" s="1"/>
  <c r="G10" i="3" s="1"/>
  <c r="D151" i="3"/>
  <c r="C151" i="3" s="1"/>
  <c r="G151" i="3" s="1"/>
  <c r="D304" i="3"/>
  <c r="C304" i="3" s="1"/>
  <c r="G304" i="3" s="1"/>
  <c r="D21" i="3"/>
  <c r="C21" i="3" s="1"/>
  <c r="G21" i="3" s="1"/>
  <c r="D76" i="3"/>
  <c r="C76" i="3" s="1"/>
  <c r="G76" i="3" s="1"/>
  <c r="D258" i="3"/>
  <c r="C258" i="3" s="1"/>
  <c r="G258" i="3" s="1"/>
  <c r="D263" i="3"/>
  <c r="C263" i="3" s="1"/>
  <c r="G263" i="3" s="1"/>
  <c r="D15" i="3"/>
  <c r="C15" i="3" s="1"/>
  <c r="G15" i="3" s="1"/>
  <c r="D17" i="3"/>
  <c r="C17" i="3" s="1"/>
  <c r="G17" i="3" s="1"/>
  <c r="D269" i="3"/>
  <c r="C269" i="3" s="1"/>
  <c r="G269" i="3" s="1"/>
  <c r="D30" i="3"/>
  <c r="C30" i="3" s="1"/>
  <c r="G30" i="3" s="1"/>
  <c r="D235" i="3"/>
  <c r="C235" i="3" s="1"/>
  <c r="G235" i="3" s="1"/>
  <c r="D58" i="3"/>
  <c r="C58" i="3" s="1"/>
  <c r="G58" i="3" s="1"/>
  <c r="D69" i="3"/>
  <c r="C69" i="3" s="1"/>
  <c r="G69" i="3" s="1"/>
  <c r="D309" i="3"/>
  <c r="C309" i="3" s="1"/>
  <c r="G309" i="3" s="1"/>
  <c r="D177" i="3"/>
  <c r="C177" i="3" s="1"/>
  <c r="G177" i="3" s="1"/>
  <c r="D288" i="3"/>
  <c r="C288" i="3" s="1"/>
  <c r="G288" i="3" s="1"/>
  <c r="D63" i="3"/>
  <c r="C63" i="3" s="1"/>
  <c r="G63" i="3" s="1"/>
  <c r="D125" i="3"/>
  <c r="C125" i="3" s="1"/>
  <c r="G125" i="3" s="1"/>
  <c r="D245" i="3"/>
  <c r="C245" i="3" s="1"/>
  <c r="G245" i="3" s="1"/>
  <c r="D34" i="3"/>
  <c r="C34" i="3" s="1"/>
  <c r="G34" i="3" s="1"/>
  <c r="D136" i="3"/>
  <c r="C136" i="3" s="1"/>
  <c r="G136" i="3" s="1"/>
  <c r="D282" i="3"/>
  <c r="C282" i="3" s="1"/>
  <c r="G282" i="3" s="1"/>
  <c r="D105" i="3"/>
  <c r="C105" i="3" s="1"/>
  <c r="G105" i="3" s="1"/>
  <c r="D165" i="3"/>
  <c r="C165" i="3" s="1"/>
  <c r="G165" i="3" s="1"/>
  <c r="D156" i="3"/>
  <c r="C156" i="3" s="1"/>
  <c r="G156" i="3" s="1"/>
  <c r="D146" i="3"/>
  <c r="C146" i="3" s="1"/>
  <c r="G146" i="3" s="1"/>
  <c r="D312" i="3"/>
  <c r="C312" i="3" s="1"/>
  <c r="G312" i="3" s="1"/>
  <c r="D238" i="3"/>
  <c r="C238" i="3" s="1"/>
  <c r="G238" i="3" s="1"/>
  <c r="D315" i="3"/>
  <c r="C315" i="3" s="1"/>
  <c r="G315" i="3" s="1"/>
  <c r="D103" i="3"/>
  <c r="C103" i="3" s="1"/>
  <c r="G103" i="3" s="1"/>
  <c r="D302" i="3"/>
  <c r="C302" i="3" s="1"/>
  <c r="G302" i="3" s="1"/>
  <c r="D176" i="3"/>
  <c r="C176" i="3" s="1"/>
  <c r="G176" i="3" s="1"/>
  <c r="D230" i="3"/>
  <c r="C230" i="3" s="1"/>
  <c r="G230" i="3" s="1"/>
  <c r="D12" i="3"/>
  <c r="C12" i="3" s="1"/>
  <c r="G12" i="3" s="1"/>
  <c r="D194" i="3"/>
  <c r="C194" i="3" s="1"/>
  <c r="G194" i="3" s="1"/>
  <c r="D215" i="3"/>
  <c r="C215" i="3" s="1"/>
  <c r="G215" i="3" s="1"/>
  <c r="D360" i="3"/>
  <c r="C360" i="3" s="1"/>
  <c r="G360" i="3" s="1"/>
  <c r="D205" i="3"/>
  <c r="C205" i="3" s="1"/>
  <c r="G205" i="3" s="1"/>
  <c r="O216" i="3"/>
  <c r="O253" i="3"/>
  <c r="O254" i="3"/>
  <c r="O42" i="3"/>
  <c r="O49" i="3"/>
  <c r="O287" i="3"/>
  <c r="O263" i="3"/>
  <c r="O61" i="3"/>
  <c r="D74" i="3"/>
  <c r="C74" i="3" s="1"/>
  <c r="G74" i="3" s="1"/>
  <c r="D251" i="3"/>
  <c r="C251" i="3" s="1"/>
  <c r="G251" i="3" s="1"/>
  <c r="D46" i="3"/>
  <c r="C46" i="3" s="1"/>
  <c r="G46" i="3" s="1"/>
  <c r="D285" i="3"/>
  <c r="C285" i="3" s="1"/>
  <c r="G285" i="3" s="1"/>
  <c r="D33" i="3"/>
  <c r="C33" i="3" s="1"/>
  <c r="G33" i="3" s="1"/>
  <c r="D18" i="3"/>
  <c r="C18" i="3" s="1"/>
  <c r="G18" i="3" s="1"/>
  <c r="D195" i="3"/>
  <c r="C195" i="3" s="1"/>
  <c r="G195" i="3" s="1"/>
  <c r="D348" i="3"/>
  <c r="C348" i="3" s="1"/>
  <c r="G348" i="3" s="1"/>
  <c r="D229" i="3"/>
  <c r="C229" i="3" s="1"/>
  <c r="G229" i="3" s="1"/>
  <c r="D246" i="3"/>
  <c r="C246" i="3" s="1"/>
  <c r="G246" i="3" s="1"/>
  <c r="D335" i="3"/>
  <c r="C335" i="3" s="1"/>
  <c r="G335" i="3" s="1"/>
  <c r="D203" i="3"/>
  <c r="C203" i="3" s="1"/>
  <c r="G203" i="3" s="1"/>
  <c r="D237" i="3"/>
  <c r="C237" i="3" s="1"/>
  <c r="G237" i="3" s="1"/>
  <c r="D271" i="3"/>
  <c r="C271" i="3" s="1"/>
  <c r="G271" i="3" s="1"/>
  <c r="D290" i="3"/>
  <c r="C290" i="3" s="1"/>
  <c r="G290" i="3" s="1"/>
  <c r="D278" i="3"/>
  <c r="C278" i="3" s="1"/>
  <c r="G278" i="3" s="1"/>
  <c r="D249" i="3"/>
  <c r="C249" i="3" s="1"/>
  <c r="G249" i="3" s="1"/>
  <c r="D127" i="3"/>
  <c r="C127" i="3" s="1"/>
  <c r="G127" i="3" s="1"/>
  <c r="D116" i="3"/>
  <c r="C116" i="3" s="1"/>
  <c r="G116" i="3" s="1"/>
  <c r="D152" i="3"/>
  <c r="C152" i="3" s="1"/>
  <c r="G152" i="3" s="1"/>
  <c r="D62" i="3"/>
  <c r="C62" i="3" s="1"/>
  <c r="G62" i="3" s="1"/>
  <c r="D44" i="3"/>
  <c r="C44" i="3" s="1"/>
  <c r="G44" i="3" s="1"/>
  <c r="D178" i="3"/>
  <c r="C178" i="3" s="1"/>
  <c r="G178" i="3" s="1"/>
  <c r="D150" i="3"/>
  <c r="C150" i="3" s="1"/>
  <c r="G150" i="3" s="1"/>
  <c r="D137" i="3"/>
  <c r="C137" i="3" s="1"/>
  <c r="G137" i="3" s="1"/>
  <c r="D11" i="3"/>
  <c r="C11" i="3" s="1"/>
  <c r="G11" i="3" s="1"/>
  <c r="D305" i="3"/>
  <c r="C305" i="3" s="1"/>
  <c r="G305" i="3" s="1"/>
  <c r="D19" i="3"/>
  <c r="C19" i="3" s="1"/>
  <c r="G19" i="3" s="1"/>
  <c r="D60" i="3"/>
  <c r="C60" i="3" s="1"/>
  <c r="G60" i="3" s="1"/>
  <c r="D308" i="3"/>
  <c r="C308" i="3" s="1"/>
  <c r="G308" i="3" s="1"/>
  <c r="D189" i="3"/>
  <c r="C189" i="3" s="1"/>
  <c r="G189" i="3" s="1"/>
  <c r="D163" i="3"/>
  <c r="C163" i="3" s="1"/>
  <c r="G163" i="3" s="1"/>
  <c r="D317" i="3"/>
  <c r="C317" i="3" s="1"/>
  <c r="G317" i="3" s="1"/>
  <c r="D86" i="3"/>
  <c r="C86" i="3" s="1"/>
  <c r="G86" i="3" s="1"/>
  <c r="O75" i="3"/>
  <c r="D342" i="3"/>
  <c r="C342" i="3" s="1"/>
  <c r="G342" i="3" s="1"/>
  <c r="D265" i="3"/>
  <c r="C265" i="3" s="1"/>
  <c r="G265" i="3" s="1"/>
  <c r="D36" i="3"/>
  <c r="C36" i="3" s="1"/>
  <c r="G36" i="3" s="1"/>
  <c r="D275" i="3"/>
  <c r="C275" i="3" s="1"/>
  <c r="G275" i="3" s="1"/>
  <c r="D214" i="3"/>
  <c r="C214" i="3" s="1"/>
  <c r="G214" i="3" s="1"/>
  <c r="D35" i="3"/>
  <c r="C35" i="3" s="1"/>
  <c r="G35" i="3" s="1"/>
  <c r="D336" i="3"/>
  <c r="C336" i="3" s="1"/>
  <c r="G336" i="3" s="1"/>
  <c r="D367" i="3"/>
  <c r="C367" i="3" s="1"/>
  <c r="G367" i="3" s="1"/>
  <c r="D316" i="3"/>
  <c r="C316" i="3" s="1"/>
  <c r="G316" i="3" s="1"/>
  <c r="D291" i="3"/>
  <c r="C291" i="3" s="1"/>
  <c r="G291" i="3" s="1"/>
  <c r="D52" i="3"/>
  <c r="C52" i="3" s="1"/>
  <c r="G52" i="3" s="1"/>
  <c r="D352" i="3"/>
  <c r="C352" i="3" s="1"/>
  <c r="G352" i="3" s="1"/>
  <c r="D325" i="3"/>
  <c r="C325" i="3" s="1"/>
  <c r="G325" i="3" s="1"/>
  <c r="D234" i="3"/>
  <c r="C234" i="3" s="1"/>
  <c r="G234" i="3" s="1"/>
  <c r="D42" i="3"/>
  <c r="C42" i="3" s="1"/>
  <c r="G42" i="3" s="1"/>
  <c r="D14" i="3"/>
  <c r="C14" i="3" s="1"/>
  <c r="G14" i="3" s="1"/>
  <c r="D358" i="3"/>
  <c r="C358" i="3" s="1"/>
  <c r="G358" i="3" s="1"/>
  <c r="D351" i="3"/>
  <c r="C351" i="3" s="1"/>
  <c r="G351" i="3" s="1"/>
  <c r="D301" i="3"/>
  <c r="C301" i="3" s="1"/>
  <c r="G301" i="3" s="1"/>
  <c r="D198" i="3"/>
  <c r="C198" i="3" s="1"/>
  <c r="G198" i="3" s="1"/>
  <c r="D99" i="3"/>
  <c r="C99" i="3" s="1"/>
  <c r="G99" i="3" s="1"/>
  <c r="D133" i="3"/>
  <c r="C133" i="3" s="1"/>
  <c r="G133" i="3" s="1"/>
  <c r="D262" i="3"/>
  <c r="C262" i="3" s="1"/>
  <c r="G262" i="3" s="1"/>
  <c r="D292" i="3"/>
  <c r="C292" i="3" s="1"/>
  <c r="G292" i="3" s="1"/>
  <c r="D172" i="3"/>
  <c r="C172" i="3" s="1"/>
  <c r="G172" i="3" s="1"/>
  <c r="D96" i="3"/>
  <c r="C96" i="3" s="1"/>
  <c r="G96" i="3" s="1"/>
  <c r="D193" i="3"/>
  <c r="C193" i="3" s="1"/>
  <c r="G193" i="3" s="1"/>
  <c r="D201" i="3"/>
  <c r="C201" i="3" s="1"/>
  <c r="G201" i="3" s="1"/>
  <c r="D27" i="3"/>
  <c r="C27" i="3" s="1"/>
  <c r="G27" i="3" s="1"/>
  <c r="D197" i="3"/>
  <c r="C197" i="3" s="1"/>
  <c r="G197" i="3" s="1"/>
  <c r="D329" i="3"/>
  <c r="C329" i="3" s="1"/>
  <c r="G329" i="3" s="1"/>
  <c r="D206" i="3"/>
  <c r="C206" i="3" s="1"/>
  <c r="G206" i="3" s="1"/>
  <c r="D321" i="3"/>
  <c r="C321" i="3" s="1"/>
  <c r="G321" i="3" s="1"/>
  <c r="D57" i="3"/>
  <c r="C57" i="3" s="1"/>
  <c r="G57" i="3" s="1"/>
  <c r="D23" i="3"/>
  <c r="C23" i="3" s="1"/>
  <c r="G23" i="3" s="1"/>
  <c r="O358" i="3"/>
  <c r="O197" i="3"/>
  <c r="O352" i="3"/>
  <c r="O354" i="3"/>
  <c r="O230" i="3"/>
  <c r="O30" i="3"/>
  <c r="O108" i="3"/>
  <c r="O40" i="3"/>
  <c r="O193" i="3"/>
  <c r="O316" i="3"/>
  <c r="O238" i="3"/>
  <c r="O43" i="3"/>
  <c r="O144" i="3"/>
  <c r="O234" i="3"/>
  <c r="O149" i="3"/>
  <c r="O304" i="3"/>
  <c r="O83" i="3"/>
  <c r="O303" i="3"/>
  <c r="O126" i="3"/>
  <c r="O327" i="3"/>
  <c r="O298" i="3"/>
  <c r="O29" i="3"/>
  <c r="O184" i="3"/>
  <c r="O302" i="3"/>
  <c r="O305" i="3"/>
  <c r="O330" i="3"/>
  <c r="O76" i="3"/>
  <c r="O97" i="3"/>
  <c r="O22" i="3"/>
  <c r="O208" i="3"/>
  <c r="O62" i="3"/>
  <c r="O101" i="3"/>
  <c r="O256" i="3"/>
  <c r="O179" i="3"/>
  <c r="O23" i="3"/>
  <c r="O222" i="3"/>
  <c r="O140" i="3"/>
  <c r="O366" i="3"/>
  <c r="O117" i="3"/>
  <c r="O31" i="3"/>
  <c r="D327" i="3"/>
  <c r="C327" i="3" s="1"/>
  <c r="G327" i="3" s="1"/>
  <c r="D228" i="3"/>
  <c r="C228" i="3" s="1"/>
  <c r="G228" i="3" s="1"/>
  <c r="D264" i="3"/>
  <c r="C264" i="3" s="1"/>
  <c r="G264" i="3" s="1"/>
  <c r="D339" i="3"/>
  <c r="C339" i="3" s="1"/>
  <c r="G339" i="3" s="1"/>
  <c r="D16" i="3"/>
  <c r="C16" i="3" s="1"/>
  <c r="G16" i="3" s="1"/>
  <c r="D170" i="3"/>
  <c r="C170" i="3" s="1"/>
  <c r="G170" i="3" s="1"/>
  <c r="D142" i="3"/>
  <c r="C142" i="3" s="1"/>
  <c r="G142" i="3" s="1"/>
  <c r="D129" i="3"/>
  <c r="C129" i="3" s="1"/>
  <c r="G129" i="3" s="1"/>
  <c r="D90" i="3"/>
  <c r="C90" i="3" s="1"/>
  <c r="G90" i="3" s="1"/>
  <c r="D200" i="3"/>
  <c r="C200" i="3" s="1"/>
  <c r="G200" i="3" s="1"/>
  <c r="D53" i="3"/>
  <c r="C53" i="3" s="1"/>
  <c r="G53" i="3" s="1"/>
  <c r="D227" i="3"/>
  <c r="C227" i="3" s="1"/>
  <c r="G227" i="3" s="1"/>
  <c r="D261" i="3"/>
  <c r="C261" i="3" s="1"/>
  <c r="G261" i="3" s="1"/>
  <c r="D79" i="3"/>
  <c r="C79" i="3" s="1"/>
  <c r="G79" i="3" s="1"/>
  <c r="D190" i="3"/>
  <c r="C190" i="3" s="1"/>
  <c r="G190" i="3" s="1"/>
  <c r="D70" i="3"/>
  <c r="C70" i="3" s="1"/>
  <c r="G70" i="3" s="1"/>
  <c r="D73" i="3"/>
  <c r="C73" i="3" s="1"/>
  <c r="G73" i="3" s="1"/>
  <c r="D180" i="3"/>
  <c r="C180" i="3" s="1"/>
  <c r="G180" i="3" s="1"/>
  <c r="D303" i="3"/>
  <c r="C303" i="3" s="1"/>
  <c r="G303" i="3" s="1"/>
  <c r="D344" i="3"/>
  <c r="C344" i="3" s="1"/>
  <c r="G344" i="3" s="1"/>
  <c r="D88" i="3"/>
  <c r="C88" i="3" s="1"/>
  <c r="G88" i="3" s="1"/>
  <c r="O151" i="3"/>
  <c r="O261" i="3"/>
  <c r="O57" i="3"/>
  <c r="O266" i="3"/>
  <c r="O102" i="3"/>
  <c r="O297" i="3"/>
  <c r="O172" i="3"/>
  <c r="O104" i="3"/>
  <c r="O257" i="3"/>
  <c r="O186" i="3"/>
  <c r="O111" i="3"/>
  <c r="O66" i="3"/>
  <c r="O41" i="3"/>
  <c r="O315" i="3"/>
  <c r="O213" i="3"/>
  <c r="O368" i="3"/>
  <c r="O332" i="3"/>
  <c r="O198" i="3"/>
  <c r="O361" i="3"/>
  <c r="O84" i="3"/>
  <c r="O91" i="3"/>
  <c r="O93" i="3"/>
  <c r="O248" i="3"/>
  <c r="O195" i="3"/>
  <c r="O71" i="3"/>
  <c r="O236" i="3"/>
  <c r="O204" i="3"/>
  <c r="O225" i="3"/>
  <c r="O175" i="3"/>
  <c r="O105" i="3"/>
  <c r="O170" i="3"/>
  <c r="O165" i="3"/>
  <c r="O320" i="3"/>
  <c r="O51" i="3"/>
  <c r="O282" i="3"/>
  <c r="O94" i="3"/>
  <c r="O45" i="3"/>
  <c r="O163" i="3"/>
  <c r="O80" i="3"/>
  <c r="O318" i="3"/>
  <c r="O92" i="3"/>
  <c r="D204" i="3"/>
  <c r="C204" i="3" s="1"/>
  <c r="G204" i="3" s="1"/>
  <c r="D85" i="3"/>
  <c r="C85" i="3" s="1"/>
  <c r="G85" i="3" s="1"/>
  <c r="D240" i="3"/>
  <c r="C240" i="3" s="1"/>
  <c r="G240" i="3" s="1"/>
  <c r="D345" i="3"/>
  <c r="C345" i="3" s="1"/>
  <c r="G345" i="3" s="1"/>
  <c r="D183" i="3"/>
  <c r="C183" i="3" s="1"/>
  <c r="G183" i="3" s="1"/>
  <c r="D338" i="3"/>
  <c r="C338" i="3" s="1"/>
  <c r="G338" i="3" s="1"/>
  <c r="D148" i="3"/>
  <c r="C148" i="3" s="1"/>
  <c r="G148" i="3" s="1"/>
  <c r="D29" i="3"/>
  <c r="C29" i="3" s="1"/>
  <c r="G29" i="3" s="1"/>
  <c r="D184" i="3"/>
  <c r="C184" i="3" s="1"/>
  <c r="G184" i="3" s="1"/>
  <c r="D289" i="3"/>
  <c r="C289" i="3" s="1"/>
  <c r="G289" i="3" s="1"/>
  <c r="D319" i="3"/>
  <c r="C319" i="3" s="1"/>
  <c r="G319" i="3" s="1"/>
  <c r="D274" i="3"/>
  <c r="C274" i="3" s="1"/>
  <c r="G274" i="3" s="1"/>
  <c r="D92" i="3"/>
  <c r="C92" i="3" s="1"/>
  <c r="G92" i="3" s="1"/>
  <c r="D254" i="3"/>
  <c r="C254" i="3" s="1"/>
  <c r="G254" i="3" s="1"/>
  <c r="D128" i="3"/>
  <c r="C128" i="3" s="1"/>
  <c r="G128" i="3" s="1"/>
  <c r="D233" i="3"/>
  <c r="C233" i="3" s="1"/>
  <c r="G233" i="3" s="1"/>
  <c r="D26" i="3"/>
  <c r="C26" i="3" s="1"/>
  <c r="G26" i="3" s="1"/>
  <c r="D356" i="3"/>
  <c r="C356" i="3" s="1"/>
  <c r="G356" i="3" s="1"/>
  <c r="D294" i="3"/>
  <c r="C294" i="3" s="1"/>
  <c r="G294" i="3" s="1"/>
  <c r="D191" i="3"/>
  <c r="C191" i="3" s="1"/>
  <c r="G191" i="3" s="1"/>
  <c r="D108" i="3"/>
  <c r="C108" i="3" s="1"/>
  <c r="G108" i="3" s="1"/>
  <c r="D144" i="3"/>
  <c r="C144" i="3" s="1"/>
  <c r="G144" i="3" s="1"/>
  <c r="D306" i="3"/>
  <c r="C306" i="3" s="1"/>
  <c r="G306" i="3" s="1"/>
  <c r="D310" i="3"/>
  <c r="C310" i="3" s="1"/>
  <c r="G310" i="3" s="1"/>
  <c r="D257" i="3"/>
  <c r="C257" i="3" s="1"/>
  <c r="G257" i="3" s="1"/>
  <c r="D218" i="3"/>
  <c r="C218" i="3" s="1"/>
  <c r="G218" i="3" s="1"/>
  <c r="D49" i="3"/>
  <c r="C49" i="3" s="1"/>
  <c r="G49" i="3" s="1"/>
  <c r="D287" i="3"/>
  <c r="C287" i="3" s="1"/>
  <c r="G287" i="3" s="1"/>
  <c r="D80" i="3"/>
  <c r="C80" i="3" s="1"/>
  <c r="G80" i="3" s="1"/>
  <c r="D355" i="3"/>
  <c r="C355" i="3" s="1"/>
  <c r="G355" i="3" s="1"/>
  <c r="D32" i="3"/>
  <c r="C32" i="3" s="1"/>
  <c r="G32" i="3" s="1"/>
  <c r="D173" i="3"/>
  <c r="C173" i="3" s="1"/>
  <c r="G173" i="3" s="1"/>
  <c r="D181" i="3"/>
  <c r="C181" i="3" s="1"/>
  <c r="G181" i="3" s="1"/>
  <c r="D343" i="3"/>
  <c r="C343" i="3" s="1"/>
  <c r="G343" i="3" s="1"/>
  <c r="D61" i="3"/>
  <c r="C61" i="3" s="1"/>
  <c r="G61" i="3" s="1"/>
  <c r="D188" i="3"/>
  <c r="C188" i="3" s="1"/>
  <c r="G188" i="3" s="1"/>
  <c r="D313" i="3"/>
  <c r="C313" i="3" s="1"/>
  <c r="G313" i="3" s="1"/>
  <c r="D65" i="3"/>
  <c r="C65" i="3" s="1"/>
  <c r="G65" i="3" s="1"/>
  <c r="L10" i="4"/>
  <c r="I12" i="4"/>
  <c r="I13" i="4"/>
  <c r="I10" i="4"/>
  <c r="M10" i="4" s="1"/>
  <c r="E17" i="4" a="1"/>
  <c r="E17" i="4" s="1"/>
  <c r="E18" i="4" s="1" a="1"/>
  <c r="E18" i="4" s="1"/>
  <c r="F17" i="4" a="1"/>
  <c r="F17" i="4" s="1"/>
  <c r="O118" i="3"/>
  <c r="O36" i="3"/>
  <c r="O325" i="3"/>
  <c r="O121" i="3"/>
  <c r="O146" i="3"/>
  <c r="O342" i="3"/>
  <c r="O187" i="3"/>
  <c r="O13" i="3"/>
  <c r="O168" i="3"/>
  <c r="O323" i="3"/>
  <c r="O347" i="3"/>
  <c r="O351" i="3"/>
  <c r="O289" i="3"/>
  <c r="O355" i="3"/>
  <c r="O87" i="3"/>
  <c r="O277" i="3"/>
  <c r="O73" i="3"/>
  <c r="O239" i="3"/>
  <c r="O70" i="3"/>
  <c r="O274" i="3"/>
  <c r="O53" i="3"/>
  <c r="O202" i="3"/>
  <c r="O157" i="3"/>
  <c r="O312" i="3"/>
  <c r="O67" i="3"/>
  <c r="O292" i="3"/>
  <c r="O110" i="3"/>
  <c r="O109" i="3"/>
  <c r="O279" i="3"/>
  <c r="O206" i="3"/>
  <c r="O233" i="3"/>
  <c r="O270" i="3"/>
  <c r="O229" i="3"/>
  <c r="O25" i="3"/>
  <c r="O311" i="3"/>
  <c r="O166" i="3"/>
  <c r="O339" i="3"/>
  <c r="O173" i="3"/>
  <c r="O300" i="3"/>
  <c r="O336" i="3"/>
  <c r="O156" i="3"/>
  <c r="O314" i="3"/>
  <c r="O199" i="3"/>
  <c r="O125" i="3"/>
  <c r="O189" i="3"/>
  <c r="O278" i="3"/>
  <c r="O100" i="3"/>
  <c r="O32" i="3"/>
  <c r="O185" i="3"/>
  <c r="O18" i="3"/>
  <c r="O251" i="3"/>
  <c r="O59" i="3"/>
  <c r="O77" i="3"/>
  <c r="O232" i="3"/>
  <c r="O227" i="3"/>
  <c r="O135" i="3"/>
  <c r="O262" i="3"/>
  <c r="O78" i="3"/>
  <c r="O290" i="3"/>
  <c r="O52" i="3"/>
  <c r="O341" i="3"/>
  <c r="O137" i="3"/>
  <c r="O114" i="3"/>
  <c r="O321" i="3"/>
  <c r="O155" i="3"/>
  <c r="O309" i="3"/>
  <c r="O294" i="3"/>
  <c r="O221" i="3"/>
  <c r="O17" i="3"/>
  <c r="O322" i="3"/>
  <c r="O182" i="3"/>
  <c r="O350" i="3"/>
  <c r="O237" i="3"/>
  <c r="O35" i="3"/>
  <c r="O329" i="3"/>
  <c r="O147" i="3"/>
  <c r="O39" i="3"/>
  <c r="O293" i="3"/>
  <c r="O89" i="3"/>
  <c r="O210" i="3"/>
  <c r="O38" i="3"/>
  <c r="O247" i="3"/>
  <c r="O301" i="3"/>
  <c r="O74" i="3"/>
  <c r="O169" i="3"/>
  <c r="O88" i="3"/>
  <c r="O220" i="3"/>
  <c r="O359" i="3"/>
  <c r="O131" i="3"/>
  <c r="O344" i="3"/>
  <c r="O399" i="3"/>
  <c r="O407" i="3"/>
  <c r="O415" i="3"/>
  <c r="O423" i="3"/>
  <c r="O376" i="3"/>
  <c r="O384" i="3"/>
  <c r="O392" i="3"/>
  <c r="O400" i="3"/>
  <c r="O408" i="3"/>
  <c r="O416" i="3"/>
  <c r="O424" i="3"/>
  <c r="O401" i="3"/>
  <c r="O409" i="3"/>
  <c r="O417" i="3"/>
  <c r="O425" i="3"/>
  <c r="O389" i="3"/>
  <c r="O421" i="3"/>
  <c r="O402" i="3"/>
  <c r="O410" i="3"/>
  <c r="O418" i="3"/>
  <c r="O426" i="3"/>
  <c r="O379" i="3"/>
  <c r="O387" i="3"/>
  <c r="O395" i="3"/>
  <c r="O403" i="3"/>
  <c r="O411" i="3"/>
  <c r="O419" i="3"/>
  <c r="O427" i="3"/>
  <c r="O397" i="3"/>
  <c r="O429" i="3"/>
  <c r="O396" i="3"/>
  <c r="O404" i="3"/>
  <c r="O412" i="3"/>
  <c r="O420" i="3"/>
  <c r="O428" i="3"/>
  <c r="O381" i="3"/>
  <c r="O405" i="3"/>
  <c r="O413" i="3"/>
  <c r="O398" i="3"/>
  <c r="O406" i="3"/>
  <c r="O414" i="3"/>
  <c r="O422" i="3"/>
  <c r="O373" i="3"/>
  <c r="O393" i="3"/>
  <c r="O383" i="3"/>
  <c r="O371" i="3"/>
  <c r="O385" i="3"/>
  <c r="O374" i="3"/>
  <c r="O391" i="3"/>
  <c r="O377" i="3"/>
  <c r="O388" i="3"/>
  <c r="O394" i="3"/>
  <c r="O390" i="3"/>
  <c r="O380" i="3"/>
  <c r="O386" i="3"/>
  <c r="O370" i="3"/>
  <c r="O382" i="3"/>
  <c r="O372" i="3"/>
  <c r="O378" i="3"/>
  <c r="O375" i="3"/>
  <c r="O164" i="3"/>
  <c r="O96" i="3"/>
  <c r="O249" i="3"/>
  <c r="O218" i="3"/>
  <c r="O127" i="3"/>
  <c r="O338" i="3"/>
  <c r="O141" i="3"/>
  <c r="O296" i="3"/>
  <c r="O99" i="3"/>
  <c r="O324" i="3"/>
  <c r="O142" i="3"/>
  <c r="O106" i="3"/>
  <c r="O58" i="3"/>
  <c r="O116" i="3"/>
  <c r="O48" i="3"/>
  <c r="O201" i="3"/>
  <c r="O306" i="3"/>
  <c r="O223" i="3"/>
  <c r="O27" i="3"/>
  <c r="O272" i="3"/>
  <c r="O55" i="3"/>
  <c r="O285" i="3"/>
  <c r="O81" i="3"/>
  <c r="O226" i="3"/>
  <c r="O54" i="3"/>
  <c r="O260" i="3"/>
  <c r="O365" i="3"/>
  <c r="O194" i="3"/>
  <c r="O178" i="3"/>
  <c r="O68" i="3"/>
  <c r="O357" i="3"/>
  <c r="O153" i="3"/>
  <c r="O82" i="3"/>
  <c r="O299" i="3"/>
  <c r="O123" i="3"/>
  <c r="O136" i="3"/>
  <c r="O268" i="3"/>
  <c r="O19" i="3"/>
  <c r="O241" i="3"/>
  <c r="O152" i="3"/>
  <c r="O280" i="3"/>
  <c r="O174" i="3"/>
  <c r="O364" i="3"/>
  <c r="O307" i="3"/>
  <c r="O228" i="3"/>
  <c r="O160" i="3"/>
  <c r="O334" i="3"/>
  <c r="O369" i="3"/>
  <c r="O362" i="3"/>
  <c r="O337" i="3"/>
  <c r="O205" i="3"/>
  <c r="O360" i="3"/>
  <c r="O343" i="3"/>
  <c r="O214" i="3"/>
  <c r="O14" i="3"/>
  <c r="O148" i="3"/>
  <c r="O255" i="3"/>
  <c r="O180" i="3"/>
  <c r="O112" i="3"/>
  <c r="O265" i="3"/>
  <c r="O154" i="3"/>
  <c r="O95" i="3"/>
  <c r="O367" i="3"/>
  <c r="O267" i="3"/>
  <c r="O60" i="3"/>
  <c r="O349" i="3"/>
  <c r="O145" i="3"/>
  <c r="O98" i="3"/>
  <c r="O310" i="3"/>
  <c r="O139" i="3"/>
  <c r="O72" i="3"/>
  <c r="O271" i="3"/>
  <c r="O20" i="3"/>
  <c r="O356" i="3"/>
  <c r="O132" i="3"/>
  <c r="O64" i="3"/>
  <c r="O217" i="3"/>
  <c r="O284" i="3"/>
  <c r="O191" i="3"/>
  <c r="O264" i="3"/>
  <c r="O47" i="3"/>
  <c r="O50" i="3"/>
  <c r="O246" i="3"/>
  <c r="O345" i="3"/>
  <c r="O346" i="3"/>
  <c r="O317" i="3"/>
  <c r="O243" i="3"/>
  <c r="O28" i="3"/>
  <c r="O10" i="3"/>
  <c r="O69" i="3"/>
  <c r="O224" i="3"/>
  <c r="O242" i="3"/>
  <c r="O167" i="3"/>
  <c r="O275" i="3"/>
  <c r="O119" i="3"/>
  <c r="O269" i="3"/>
  <c r="O65" i="3"/>
  <c r="O252" i="3"/>
  <c r="O86" i="3"/>
  <c r="O286" i="3"/>
  <c r="O181" i="3"/>
  <c r="O159" i="3"/>
  <c r="O21" i="3"/>
  <c r="O176" i="3"/>
  <c r="O313" i="3"/>
  <c r="O326" i="3"/>
  <c r="O340" i="3"/>
  <c r="O308" i="3"/>
  <c r="O259" i="3"/>
  <c r="O124" i="3"/>
  <c r="O56" i="3"/>
  <c r="O209" i="3"/>
  <c r="O295" i="3"/>
  <c r="O207" i="3"/>
  <c r="O11" i="3"/>
  <c r="O200" i="3"/>
  <c r="O258" i="3"/>
  <c r="O212" i="3"/>
  <c r="O276" i="3"/>
  <c r="O196" i="3"/>
  <c r="O128" i="3"/>
  <c r="O281" i="3"/>
  <c r="O90" i="3"/>
  <c r="O63" i="3"/>
  <c r="O244" i="3"/>
  <c r="O33" i="3"/>
  <c r="O107" i="3"/>
  <c r="O231" i="3"/>
  <c r="O143" i="3"/>
  <c r="O26" i="3"/>
  <c r="O113" i="3"/>
  <c r="O353" i="3"/>
  <c r="O46" i="3"/>
  <c r="O203" i="3"/>
  <c r="O348" i="3"/>
  <c r="O133" i="3"/>
  <c r="O288" i="3"/>
  <c r="O115" i="3"/>
  <c r="O335" i="3"/>
  <c r="O158" i="3"/>
  <c r="O44" i="3"/>
  <c r="O333" i="3"/>
  <c r="O129" i="3"/>
  <c r="O130" i="3"/>
  <c r="O331" i="3"/>
  <c r="O171" i="3"/>
  <c r="O16" i="3"/>
  <c r="O219" i="3"/>
  <c r="O85" i="3"/>
  <c r="O240" i="3"/>
  <c r="O211" i="3"/>
  <c r="O103" i="3"/>
  <c r="O250" i="3"/>
  <c r="O235" i="3"/>
  <c r="O134" i="3"/>
  <c r="O188" i="3"/>
  <c r="O120" i="3"/>
  <c r="O273" i="3"/>
  <c r="O122" i="3"/>
  <c r="O79" i="3"/>
  <c r="O138" i="3"/>
  <c r="O328" i="3"/>
  <c r="O150" i="3"/>
  <c r="O245" i="3"/>
  <c r="O190" i="3"/>
  <c r="O37" i="3"/>
  <c r="O192" i="3"/>
  <c r="O291" i="3"/>
  <c r="O283" i="3"/>
  <c r="O319" i="3"/>
  <c r="O12" i="3"/>
  <c r="O161" i="3"/>
  <c r="O215" i="3"/>
  <c r="O363" i="3"/>
  <c r="O162" i="3"/>
  <c r="O15" i="3"/>
  <c r="O177" i="3"/>
  <c r="O24" i="3"/>
  <c r="O183" i="3"/>
  <c r="O34" i="3"/>
  <c r="F145" i="3"/>
  <c r="H145" i="3" s="1"/>
  <c r="F13" i="3"/>
  <c r="H13" i="3" s="1"/>
  <c r="F114" i="3"/>
  <c r="H114" i="3" s="1"/>
  <c r="G12" i="2" l="1"/>
  <c r="H12" i="2" s="1"/>
  <c r="F13" i="2" s="1"/>
  <c r="J13" i="2" s="1"/>
  <c r="Q10" i="3"/>
  <c r="R10" i="3" s="1"/>
  <c r="P11" i="3" s="1"/>
  <c r="Q11" i="3" s="1"/>
  <c r="R11" i="3" s="1"/>
  <c r="F186" i="3"/>
  <c r="H186" i="3" s="1"/>
  <c r="F71" i="3"/>
  <c r="H71" i="3" s="1"/>
  <c r="F226" i="3"/>
  <c r="H226" i="3" s="1"/>
  <c r="F225" i="3"/>
  <c r="H225" i="3" s="1"/>
  <c r="F110" i="3"/>
  <c r="H110" i="3" s="1"/>
  <c r="F270" i="3"/>
  <c r="H270" i="3" s="1"/>
  <c r="F361" i="3"/>
  <c r="H361" i="3" s="1"/>
  <c r="F24" i="3"/>
  <c r="H24" i="3" s="1"/>
  <c r="F248" i="3"/>
  <c r="H248" i="3" s="1"/>
  <c r="F249" i="3"/>
  <c r="H249" i="3" s="1"/>
  <c r="F167" i="3"/>
  <c r="H167" i="3" s="1"/>
  <c r="F158" i="3"/>
  <c r="H158" i="3" s="1"/>
  <c r="F27" i="3"/>
  <c r="H27" i="3" s="1"/>
  <c r="F10" i="3"/>
  <c r="H10" i="3" s="1"/>
  <c r="I10" i="3" s="1"/>
  <c r="F165" i="3"/>
  <c r="H165" i="3" s="1"/>
  <c r="F33" i="3"/>
  <c r="H33" i="3" s="1"/>
  <c r="F101" i="3"/>
  <c r="H101" i="3" s="1"/>
  <c r="F47" i="3"/>
  <c r="H47" i="3" s="1"/>
  <c r="F292" i="3"/>
  <c r="H292" i="3" s="1"/>
  <c r="F187" i="3"/>
  <c r="H187" i="3" s="1"/>
  <c r="F314" i="3"/>
  <c r="H314" i="3" s="1"/>
  <c r="F224" i="3"/>
  <c r="H224" i="3" s="1"/>
  <c r="F113" i="3"/>
  <c r="H113" i="3" s="1"/>
  <c r="F161" i="3"/>
  <c r="H161" i="3" s="1"/>
  <c r="F25" i="3"/>
  <c r="H25" i="3" s="1"/>
  <c r="F38" i="3"/>
  <c r="H38" i="3" s="1"/>
  <c r="F166" i="3"/>
  <c r="H166" i="3" s="1"/>
  <c r="F256" i="3"/>
  <c r="H256" i="3" s="1"/>
  <c r="F41" i="3"/>
  <c r="H41" i="3" s="1"/>
  <c r="F120" i="3"/>
  <c r="H120" i="3" s="1"/>
  <c r="F252" i="3"/>
  <c r="H252" i="3" s="1"/>
  <c r="F15" i="3"/>
  <c r="H15" i="3" s="1"/>
  <c r="F95" i="3"/>
  <c r="H95" i="3" s="1"/>
  <c r="F273" i="3"/>
  <c r="H273" i="3" s="1"/>
  <c r="F279" i="3"/>
  <c r="H279" i="3" s="1"/>
  <c r="F362" i="3"/>
  <c r="H362" i="3" s="1"/>
  <c r="F160" i="3"/>
  <c r="H160" i="3" s="1"/>
  <c r="F353" i="3"/>
  <c r="H353" i="3" s="1"/>
  <c r="F241" i="3"/>
  <c r="H241" i="3" s="1"/>
  <c r="F216" i="3"/>
  <c r="H216" i="3" s="1"/>
  <c r="F109" i="3"/>
  <c r="H109" i="3" s="1"/>
  <c r="F274" i="3"/>
  <c r="H274" i="3" s="1"/>
  <c r="F191" i="3"/>
  <c r="H191" i="3" s="1"/>
  <c r="F363" i="3"/>
  <c r="H363" i="3" s="1"/>
  <c r="F288" i="3"/>
  <c r="H288" i="3" s="1"/>
  <c r="F131" i="3"/>
  <c r="H131" i="3" s="1"/>
  <c r="F200" i="3"/>
  <c r="H200" i="3" s="1"/>
  <c r="F209" i="3"/>
  <c r="H209" i="3" s="1"/>
  <c r="F307" i="3"/>
  <c r="H307" i="3" s="1"/>
  <c r="F232" i="3"/>
  <c r="H232" i="3" s="1"/>
  <c r="F182" i="3"/>
  <c r="H182" i="3" s="1"/>
  <c r="F23" i="3"/>
  <c r="H23" i="3" s="1"/>
  <c r="F308" i="3"/>
  <c r="H308" i="3" s="1"/>
  <c r="F206" i="3"/>
  <c r="H206" i="3" s="1"/>
  <c r="F230" i="3"/>
  <c r="H230" i="3" s="1"/>
  <c r="F212" i="3"/>
  <c r="H212" i="3" s="1"/>
  <c r="F117" i="3"/>
  <c r="H117" i="3" s="1"/>
  <c r="F171" i="3"/>
  <c r="H171" i="3" s="1"/>
  <c r="F57" i="3"/>
  <c r="H57" i="3" s="1"/>
  <c r="F343" i="3"/>
  <c r="H343" i="3" s="1"/>
  <c r="F319" i="3"/>
  <c r="H319" i="3" s="1"/>
  <c r="F321" i="3"/>
  <c r="H321" i="3" s="1"/>
  <c r="F310" i="3"/>
  <c r="H310" i="3" s="1"/>
  <c r="F198" i="3"/>
  <c r="H198" i="3" s="1"/>
  <c r="F348" i="3"/>
  <c r="H348" i="3" s="1"/>
  <c r="F189" i="3"/>
  <c r="H189" i="3" s="1"/>
  <c r="F90" i="3"/>
  <c r="H90" i="3" s="1"/>
  <c r="F266" i="3"/>
  <c r="H266" i="3" s="1"/>
  <c r="F108" i="3"/>
  <c r="H108" i="3" s="1"/>
  <c r="F26" i="3"/>
  <c r="H26" i="3" s="1"/>
  <c r="F255" i="3"/>
  <c r="H255" i="3" s="1"/>
  <c r="F92" i="3"/>
  <c r="H92" i="3" s="1"/>
  <c r="F240" i="3"/>
  <c r="H240" i="3" s="1"/>
  <c r="F369" i="3"/>
  <c r="H369" i="3" s="1"/>
  <c r="F201" i="3"/>
  <c r="H201" i="3" s="1"/>
  <c r="F253" i="3"/>
  <c r="H253" i="3" s="1"/>
  <c r="F258" i="3"/>
  <c r="H258" i="3" s="1"/>
  <c r="F36" i="3"/>
  <c r="H36" i="3" s="1"/>
  <c r="F313" i="3"/>
  <c r="H313" i="3" s="1"/>
  <c r="F358" i="3"/>
  <c r="H358" i="3" s="1"/>
  <c r="F327" i="3"/>
  <c r="H327" i="3" s="1"/>
  <c r="F218" i="3"/>
  <c r="H218" i="3" s="1"/>
  <c r="F316" i="3"/>
  <c r="H316" i="3" s="1"/>
  <c r="F302" i="3"/>
  <c r="H302" i="3" s="1"/>
  <c r="F205" i="3"/>
  <c r="H205" i="3" s="1"/>
  <c r="F360" i="3"/>
  <c r="H360" i="3" s="1"/>
  <c r="F250" i="3"/>
  <c r="H250" i="3" s="1"/>
  <c r="F58" i="3"/>
  <c r="H58" i="3" s="1"/>
  <c r="F64" i="3"/>
  <c r="H64" i="3" s="1"/>
  <c r="F243" i="3"/>
  <c r="H243" i="3" s="1"/>
  <c r="F222" i="3"/>
  <c r="H222" i="3" s="1"/>
  <c r="F169" i="3"/>
  <c r="H169" i="3" s="1"/>
  <c r="F37" i="3"/>
  <c r="H37" i="3" s="1"/>
  <c r="F211" i="3"/>
  <c r="H211" i="3" s="1"/>
  <c r="F139" i="3"/>
  <c r="H139" i="3" s="1"/>
  <c r="F99" i="3"/>
  <c r="H99" i="3" s="1"/>
  <c r="F190" i="3"/>
  <c r="H190" i="3" s="1"/>
  <c r="F62" i="3"/>
  <c r="H62" i="3" s="1"/>
  <c r="F77" i="3"/>
  <c r="H77" i="3" s="1"/>
  <c r="F100" i="3"/>
  <c r="H100" i="3" s="1"/>
  <c r="F354" i="3"/>
  <c r="H354" i="3" s="1"/>
  <c r="F196" i="3"/>
  <c r="H196" i="3" s="1"/>
  <c r="F129" i="3"/>
  <c r="H129" i="3" s="1"/>
  <c r="F152" i="3"/>
  <c r="H152" i="3" s="1"/>
  <c r="F357" i="3"/>
  <c r="H357" i="3" s="1"/>
  <c r="F155" i="3"/>
  <c r="H155" i="3" s="1"/>
  <c r="F346" i="3"/>
  <c r="H346" i="3" s="1"/>
  <c r="F254" i="3"/>
  <c r="H254" i="3" s="1"/>
  <c r="F130" i="3"/>
  <c r="H130" i="3" s="1"/>
  <c r="F300" i="3"/>
  <c r="H300" i="3" s="1"/>
  <c r="F215" i="3"/>
  <c r="H215" i="3" s="1"/>
  <c r="F68" i="3"/>
  <c r="H68" i="3" s="1"/>
  <c r="F136" i="3"/>
  <c r="H136" i="3" s="1"/>
  <c r="F89" i="3"/>
  <c r="H89" i="3" s="1"/>
  <c r="F44" i="3"/>
  <c r="H44" i="3" s="1"/>
  <c r="F115" i="3"/>
  <c r="H115" i="3" s="1"/>
  <c r="F275" i="3"/>
  <c r="H275" i="3" s="1"/>
  <c r="F72" i="3"/>
  <c r="H72" i="3" s="1"/>
  <c r="F242" i="3"/>
  <c r="H242" i="3" s="1"/>
  <c r="F184" i="3"/>
  <c r="H184" i="3" s="1"/>
  <c r="F143" i="3"/>
  <c r="H143" i="3" s="1"/>
  <c r="F277" i="3"/>
  <c r="H277" i="3" s="1"/>
  <c r="F311" i="3"/>
  <c r="H311" i="3" s="1"/>
  <c r="F309" i="3"/>
  <c r="H309" i="3" s="1"/>
  <c r="F103" i="3"/>
  <c r="H103" i="3" s="1"/>
  <c r="F128" i="3"/>
  <c r="H128" i="3" s="1"/>
  <c r="F162" i="3"/>
  <c r="H162" i="3" s="1"/>
  <c r="F303" i="3"/>
  <c r="H303" i="3" s="1"/>
  <c r="F267" i="3"/>
  <c r="H267" i="3" s="1"/>
  <c r="F149" i="3"/>
  <c r="H149" i="3" s="1"/>
  <c r="F22" i="3"/>
  <c r="H22" i="3" s="1"/>
  <c r="F39" i="3"/>
  <c r="H39" i="3" s="1"/>
  <c r="F244" i="3"/>
  <c r="H244" i="3" s="1"/>
  <c r="F276" i="3"/>
  <c r="H276" i="3" s="1"/>
  <c r="F112" i="3"/>
  <c r="H112" i="3" s="1"/>
  <c r="F238" i="3"/>
  <c r="H238" i="3" s="1"/>
  <c r="F50" i="3"/>
  <c r="H50" i="3" s="1"/>
  <c r="F259" i="3"/>
  <c r="H259" i="3" s="1"/>
  <c r="F337" i="3"/>
  <c r="H337" i="3" s="1"/>
  <c r="F297" i="3"/>
  <c r="H297" i="3" s="1"/>
  <c r="F140" i="3"/>
  <c r="H140" i="3" s="1"/>
  <c r="F34" i="3"/>
  <c r="H34" i="3" s="1"/>
  <c r="F231" i="3"/>
  <c r="H231" i="3" s="1"/>
  <c r="F87" i="3"/>
  <c r="H87" i="3" s="1"/>
  <c r="F168" i="3"/>
  <c r="H168" i="3" s="1"/>
  <c r="F51" i="3"/>
  <c r="H51" i="3" s="1"/>
  <c r="F272" i="3"/>
  <c r="H272" i="3" s="1"/>
  <c r="F73" i="3"/>
  <c r="H73" i="3" s="1"/>
  <c r="F339" i="3"/>
  <c r="H339" i="3" s="1"/>
  <c r="F174" i="3"/>
  <c r="H174" i="3" s="1"/>
  <c r="F261" i="3"/>
  <c r="H261" i="3" s="1"/>
  <c r="F141" i="3"/>
  <c r="H141" i="3" s="1"/>
  <c r="F106" i="3"/>
  <c r="H106" i="3" s="1"/>
  <c r="F132" i="3"/>
  <c r="H132" i="3" s="1"/>
  <c r="F93" i="3"/>
  <c r="H93" i="3" s="1"/>
  <c r="F40" i="3"/>
  <c r="H40" i="3" s="1"/>
  <c r="F365" i="3"/>
  <c r="H365" i="3" s="1"/>
  <c r="F359" i="3"/>
  <c r="H359" i="3" s="1"/>
  <c r="F284" i="3"/>
  <c r="H284" i="3" s="1"/>
  <c r="F199" i="3"/>
  <c r="H199" i="3" s="1"/>
  <c r="F98" i="3"/>
  <c r="H98" i="3" s="1"/>
  <c r="F332" i="3"/>
  <c r="H332" i="3" s="1"/>
  <c r="F150" i="3"/>
  <c r="H150" i="3" s="1"/>
  <c r="F91" i="3"/>
  <c r="H91" i="3" s="1"/>
  <c r="F210" i="3"/>
  <c r="H210" i="3" s="1"/>
  <c r="F66" i="3"/>
  <c r="H66" i="3" s="1"/>
  <c r="F107" i="3"/>
  <c r="H107" i="3" s="1"/>
  <c r="F351" i="3"/>
  <c r="H351" i="3" s="1"/>
  <c r="F159" i="3"/>
  <c r="H159" i="3" s="1"/>
  <c r="F153" i="3"/>
  <c r="H153" i="3" s="1"/>
  <c r="F123" i="3"/>
  <c r="H123" i="3" s="1"/>
  <c r="F147" i="3"/>
  <c r="H147" i="3" s="1"/>
  <c r="F135" i="3"/>
  <c r="H135" i="3" s="1"/>
  <c r="F102" i="3"/>
  <c r="H102" i="3" s="1"/>
  <c r="F76" i="3"/>
  <c r="H76" i="3" s="1"/>
  <c r="F78" i="3"/>
  <c r="H78" i="3" s="1"/>
  <c r="F43" i="3"/>
  <c r="H43" i="3" s="1"/>
  <c r="F179" i="3"/>
  <c r="H179" i="3" s="1"/>
  <c r="F234" i="3"/>
  <c r="H234" i="3" s="1"/>
  <c r="F282" i="3"/>
  <c r="H282" i="3" s="1"/>
  <c r="F69" i="3"/>
  <c r="H69" i="3" s="1"/>
  <c r="F344" i="3"/>
  <c r="H344" i="3" s="1"/>
  <c r="F213" i="3"/>
  <c r="H213" i="3" s="1"/>
  <c r="F118" i="3"/>
  <c r="H118" i="3" s="1"/>
  <c r="F219" i="3"/>
  <c r="H219" i="3" s="1"/>
  <c r="F280" i="3"/>
  <c r="H280" i="3" s="1"/>
  <c r="F178" i="3"/>
  <c r="H178" i="3" s="1"/>
  <c r="F197" i="3"/>
  <c r="H197" i="3" s="1"/>
  <c r="F364" i="3"/>
  <c r="H364" i="3" s="1"/>
  <c r="F144" i="3"/>
  <c r="H144" i="3" s="1"/>
  <c r="F299" i="3"/>
  <c r="H299" i="3" s="1"/>
  <c r="F74" i="3"/>
  <c r="H74" i="3" s="1"/>
  <c r="F324" i="3"/>
  <c r="H324" i="3" s="1"/>
  <c r="F349" i="3"/>
  <c r="H349" i="3" s="1"/>
  <c r="F368" i="3"/>
  <c r="H368" i="3" s="1"/>
  <c r="F283" i="3"/>
  <c r="H283" i="3" s="1"/>
  <c r="F122" i="3"/>
  <c r="H122" i="3" s="1"/>
  <c r="F45" i="3"/>
  <c r="H45" i="3" s="1"/>
  <c r="F305" i="3"/>
  <c r="H305" i="3" s="1"/>
  <c r="F42" i="3"/>
  <c r="H42" i="3" s="1"/>
  <c r="F263" i="3"/>
  <c r="H263" i="3" s="1"/>
  <c r="F134" i="3"/>
  <c r="H134" i="3" s="1"/>
  <c r="F315" i="3"/>
  <c r="H315" i="3" s="1"/>
  <c r="F65" i="3"/>
  <c r="H65" i="3" s="1"/>
  <c r="F18" i="3"/>
  <c r="H18" i="3" s="1"/>
  <c r="F154" i="3"/>
  <c r="H154" i="3" s="1"/>
  <c r="F318" i="3"/>
  <c r="H318" i="3" s="1"/>
  <c r="F227" i="3"/>
  <c r="H227" i="3" s="1"/>
  <c r="F111" i="3"/>
  <c r="H111" i="3" s="1"/>
  <c r="F207" i="3"/>
  <c r="H207" i="3" s="1"/>
  <c r="F32" i="3"/>
  <c r="H32" i="3" s="1"/>
  <c r="F236" i="3"/>
  <c r="H236" i="3" s="1"/>
  <c r="F293" i="3"/>
  <c r="H293" i="3" s="1"/>
  <c r="F345" i="3"/>
  <c r="H345" i="3" s="1"/>
  <c r="G31" i="3"/>
  <c r="F31" i="3"/>
  <c r="F48" i="3"/>
  <c r="H48" i="3" s="1"/>
  <c r="F116" i="3"/>
  <c r="H116" i="3" s="1"/>
  <c r="F298" i="3"/>
  <c r="H298" i="3" s="1"/>
  <c r="F335" i="3"/>
  <c r="H335" i="3" s="1"/>
  <c r="F148" i="3"/>
  <c r="H148" i="3" s="1"/>
  <c r="F83" i="3"/>
  <c r="H83" i="3" s="1"/>
  <c r="F246" i="3"/>
  <c r="H246" i="3" s="1"/>
  <c r="F85" i="3"/>
  <c r="H85" i="3" s="1"/>
  <c r="F164" i="3"/>
  <c r="H164" i="3" s="1"/>
  <c r="F11" i="3"/>
  <c r="H11" i="3" s="1"/>
  <c r="F341" i="3"/>
  <c r="H341" i="3" s="1"/>
  <c r="F126" i="3"/>
  <c r="H126" i="3" s="1"/>
  <c r="F142" i="3"/>
  <c r="H142" i="3" s="1"/>
  <c r="F287" i="3"/>
  <c r="H287" i="3" s="1"/>
  <c r="F86" i="3"/>
  <c r="H86" i="3" s="1"/>
  <c r="F271" i="3"/>
  <c r="H271" i="3" s="1"/>
  <c r="F17" i="3"/>
  <c r="H17" i="3" s="1"/>
  <c r="F330" i="3"/>
  <c r="H330" i="3" s="1"/>
  <c r="F177" i="3"/>
  <c r="H177" i="3" s="1"/>
  <c r="F82" i="3"/>
  <c r="H82" i="3" s="1"/>
  <c r="F173" i="3"/>
  <c r="H173" i="3" s="1"/>
  <c r="F157" i="3"/>
  <c r="H157" i="3" s="1"/>
  <c r="F304" i="3"/>
  <c r="H304" i="3" s="1"/>
  <c r="F96" i="3"/>
  <c r="H96" i="3" s="1"/>
  <c r="F183" i="3"/>
  <c r="H183" i="3" s="1"/>
  <c r="F52" i="3"/>
  <c r="H52" i="3" s="1"/>
  <c r="F331" i="3"/>
  <c r="H331" i="3" s="1"/>
  <c r="F223" i="3"/>
  <c r="H223" i="3" s="1"/>
  <c r="F229" i="3"/>
  <c r="H229" i="3" s="1"/>
  <c r="F63" i="3"/>
  <c r="H63" i="3" s="1"/>
  <c r="F221" i="3"/>
  <c r="H221" i="3" s="1"/>
  <c r="F312" i="3"/>
  <c r="H312" i="3" s="1"/>
  <c r="F322" i="3"/>
  <c r="H322" i="3" s="1"/>
  <c r="F192" i="3"/>
  <c r="H192" i="3" s="1"/>
  <c r="F245" i="3"/>
  <c r="H245" i="3" s="1"/>
  <c r="F81" i="3"/>
  <c r="H81" i="3" s="1"/>
  <c r="F323" i="3"/>
  <c r="H323" i="3" s="1"/>
  <c r="F367" i="3"/>
  <c r="H367" i="3" s="1"/>
  <c r="F55" i="3"/>
  <c r="H55" i="3" s="1"/>
  <c r="F146" i="3"/>
  <c r="H146" i="3" s="1"/>
  <c r="F138" i="3"/>
  <c r="H138" i="3" s="1"/>
  <c r="F94" i="3"/>
  <c r="H94" i="3" s="1"/>
  <c r="F125" i="3"/>
  <c r="H125" i="3" s="1"/>
  <c r="F220" i="3"/>
  <c r="H220" i="3" s="1"/>
  <c r="F54" i="3"/>
  <c r="H54" i="3" s="1"/>
  <c r="F180" i="3"/>
  <c r="H180" i="3" s="1"/>
  <c r="F286" i="3"/>
  <c r="H286" i="3" s="1"/>
  <c r="F21" i="3"/>
  <c r="H21" i="3" s="1"/>
  <c r="F281" i="3"/>
  <c r="H281" i="3" s="1"/>
  <c r="F127" i="3"/>
  <c r="H127" i="3" s="1"/>
  <c r="F67" i="3"/>
  <c r="H67" i="3" s="1"/>
  <c r="F352" i="3"/>
  <c r="H352" i="3" s="1"/>
  <c r="F124" i="3"/>
  <c r="H124" i="3" s="1"/>
  <c r="F247" i="3"/>
  <c r="H247" i="3" s="1"/>
  <c r="F278" i="3"/>
  <c r="H278" i="3" s="1"/>
  <c r="F29" i="3"/>
  <c r="H29" i="3" s="1"/>
  <c r="F105" i="3"/>
  <c r="H105" i="3" s="1"/>
  <c r="F20" i="3"/>
  <c r="H20" i="3" s="1"/>
  <c r="F172" i="3"/>
  <c r="H172" i="3" s="1"/>
  <c r="F317" i="3"/>
  <c r="H317" i="3" s="1"/>
  <c r="F237" i="3"/>
  <c r="H237" i="3" s="1"/>
  <c r="F202" i="3"/>
  <c r="H202" i="3" s="1"/>
  <c r="F269" i="3"/>
  <c r="H269" i="3" s="1"/>
  <c r="F333" i="3"/>
  <c r="H333" i="3" s="1"/>
  <c r="F366" i="3"/>
  <c r="H366" i="3" s="1"/>
  <c r="F97" i="3"/>
  <c r="H97" i="3" s="1"/>
  <c r="F53" i="3"/>
  <c r="H53" i="3" s="1"/>
  <c r="F133" i="3"/>
  <c r="H133" i="3" s="1"/>
  <c r="F204" i="3"/>
  <c r="H204" i="3" s="1"/>
  <c r="F336" i="3"/>
  <c r="H336" i="3" s="1"/>
  <c r="F208" i="3"/>
  <c r="H208" i="3" s="1"/>
  <c r="F326" i="3"/>
  <c r="H326" i="3" s="1"/>
  <c r="F334" i="3"/>
  <c r="H334" i="3" s="1"/>
  <c r="F340" i="3"/>
  <c r="H340" i="3" s="1"/>
  <c r="F188" i="3"/>
  <c r="H188" i="3" s="1"/>
  <c r="F156" i="3"/>
  <c r="H156" i="3" s="1"/>
  <c r="F104" i="3"/>
  <c r="H104" i="3" s="1"/>
  <c r="F325" i="3"/>
  <c r="H325" i="3" s="1"/>
  <c r="F84" i="3"/>
  <c r="H84" i="3" s="1"/>
  <c r="F12" i="3"/>
  <c r="H12" i="3" s="1"/>
  <c r="F295" i="3"/>
  <c r="H295" i="3" s="1"/>
  <c r="F268" i="3"/>
  <c r="H268" i="3" s="1"/>
  <c r="F347" i="3"/>
  <c r="H347" i="3" s="1"/>
  <c r="F61" i="3"/>
  <c r="H61" i="3" s="1"/>
  <c r="F264" i="3"/>
  <c r="H264" i="3" s="1"/>
  <c r="F194" i="3"/>
  <c r="H194" i="3" s="1"/>
  <c r="F56" i="3"/>
  <c r="H56" i="3" s="1"/>
  <c r="F176" i="3"/>
  <c r="H176" i="3" s="1"/>
  <c r="F121" i="3"/>
  <c r="H121" i="3" s="1"/>
  <c r="F181" i="3"/>
  <c r="H181" i="3" s="1"/>
  <c r="F59" i="3"/>
  <c r="H59" i="3" s="1"/>
  <c r="F185" i="3"/>
  <c r="H185" i="3" s="1"/>
  <c r="F296" i="3"/>
  <c r="H296" i="3" s="1"/>
  <c r="F239" i="3"/>
  <c r="H239" i="3" s="1"/>
  <c r="F75" i="3"/>
  <c r="H75" i="3" s="1"/>
  <c r="F137" i="3"/>
  <c r="H137" i="3" s="1"/>
  <c r="F260" i="3"/>
  <c r="H260" i="3" s="1"/>
  <c r="F30" i="3"/>
  <c r="H30" i="3" s="1"/>
  <c r="F262" i="3"/>
  <c r="H262" i="3" s="1"/>
  <c r="F80" i="3"/>
  <c r="H80" i="3" s="1"/>
  <c r="F163" i="3"/>
  <c r="H163" i="3" s="1"/>
  <c r="F203" i="3"/>
  <c r="H203" i="3" s="1"/>
  <c r="F217" i="3"/>
  <c r="H217" i="3" s="1"/>
  <c r="F235" i="3"/>
  <c r="H235" i="3" s="1"/>
  <c r="F257" i="3"/>
  <c r="H257" i="3" s="1"/>
  <c r="F228" i="3"/>
  <c r="H228" i="3" s="1"/>
  <c r="F14" i="3"/>
  <c r="H14" i="3" s="1"/>
  <c r="F175" i="3"/>
  <c r="H175" i="3" s="1"/>
  <c r="F35" i="3"/>
  <c r="H35" i="3" s="1"/>
  <c r="F28" i="3"/>
  <c r="H28" i="3" s="1"/>
  <c r="F328" i="3"/>
  <c r="H328" i="3" s="1"/>
  <c r="F285" i="3"/>
  <c r="H285" i="3" s="1"/>
  <c r="F350" i="3"/>
  <c r="H350" i="3" s="1"/>
  <c r="F320" i="3"/>
  <c r="H320" i="3" s="1"/>
  <c r="F151" i="3"/>
  <c r="H151" i="3" s="1"/>
  <c r="F119" i="3"/>
  <c r="H119" i="3" s="1"/>
  <c r="F291" i="3"/>
  <c r="H291" i="3" s="1"/>
  <c r="F233" i="3"/>
  <c r="H233" i="3" s="1"/>
  <c r="F265" i="3"/>
  <c r="H265" i="3" s="1"/>
  <c r="F290" i="3"/>
  <c r="H290" i="3" s="1"/>
  <c r="F60" i="3"/>
  <c r="H60" i="3" s="1"/>
  <c r="F306" i="3"/>
  <c r="H306" i="3" s="1"/>
  <c r="F193" i="3"/>
  <c r="H193" i="3" s="1"/>
  <c r="F46" i="3"/>
  <c r="H46" i="3" s="1"/>
  <c r="F16" i="3"/>
  <c r="H16" i="3" s="1"/>
  <c r="F338" i="3"/>
  <c r="H338" i="3" s="1"/>
  <c r="F49" i="3"/>
  <c r="H49" i="3" s="1"/>
  <c r="F289" i="3"/>
  <c r="H289" i="3" s="1"/>
  <c r="F70" i="3"/>
  <c r="H70" i="3" s="1"/>
  <c r="F356" i="3"/>
  <c r="H356" i="3" s="1"/>
  <c r="F19" i="3"/>
  <c r="H19" i="3" s="1"/>
  <c r="F170" i="3"/>
  <c r="H170" i="3" s="1"/>
  <c r="F251" i="3"/>
  <c r="H251" i="3" s="1"/>
  <c r="F355" i="3"/>
  <c r="H355" i="3" s="1"/>
  <c r="F88" i="3"/>
  <c r="H88" i="3" s="1"/>
  <c r="F214" i="3"/>
  <c r="H214" i="3" s="1"/>
  <c r="F301" i="3"/>
  <c r="H301" i="3" s="1"/>
  <c r="F79" i="3"/>
  <c r="H79" i="3" s="1"/>
  <c r="F342" i="3"/>
  <c r="H342" i="3" s="1"/>
  <c r="F329" i="3"/>
  <c r="H329" i="3" s="1"/>
  <c r="F294" i="3"/>
  <c r="H294" i="3" s="1"/>
  <c r="F195" i="3"/>
  <c r="H195" i="3" s="1"/>
  <c r="F18" i="4" a="1"/>
  <c r="F18" i="4" s="1"/>
  <c r="I11" i="4" s="1"/>
  <c r="P10" i="4"/>
  <c r="G13" i="2" l="1"/>
  <c r="H13" i="2" s="1"/>
  <c r="F14" i="2" s="1"/>
  <c r="G14" i="2" s="1"/>
  <c r="H14" i="2" s="1"/>
  <c r="F15" i="2" s="1"/>
  <c r="G15" i="2" s="1"/>
  <c r="H15" i="2" s="1"/>
  <c r="H31" i="3"/>
  <c r="I11" i="3"/>
  <c r="P12" i="3"/>
  <c r="Q12" i="3" s="1"/>
  <c r="R12" i="3" s="1"/>
  <c r="J14" i="2" l="1"/>
  <c r="J15" i="2" s="1"/>
  <c r="I12" i="3"/>
  <c r="P13" i="3"/>
  <c r="Q13" i="3" s="1"/>
  <c r="R13" i="3" s="1"/>
  <c r="P14" i="3" s="1"/>
  <c r="Q14" i="3" s="1"/>
  <c r="R14" i="3" s="1"/>
  <c r="F16" i="2"/>
  <c r="G16" i="2" s="1"/>
  <c r="H16" i="2" s="1"/>
  <c r="I13" i="3" l="1"/>
  <c r="I14" i="3" s="1"/>
  <c r="P15" i="3"/>
  <c r="Q15" i="3" s="1"/>
  <c r="R15" i="3" s="1"/>
  <c r="F17" i="2"/>
  <c r="G17" i="2" s="1"/>
  <c r="H17" i="2" s="1"/>
  <c r="F18" i="2" s="1"/>
  <c r="G18" i="2" s="1"/>
  <c r="H18" i="2" s="1"/>
  <c r="F19" i="2" s="1"/>
  <c r="G19" i="2" s="1"/>
  <c r="H19" i="2" s="1"/>
  <c r="F20" i="2" s="1"/>
  <c r="G20" i="2" s="1"/>
  <c r="H20" i="2" s="1"/>
  <c r="F21" i="2" s="1"/>
  <c r="G21" i="2" s="1"/>
  <c r="H21" i="2" s="1"/>
  <c r="F22" i="2" s="1"/>
  <c r="J16" i="2"/>
  <c r="I15" i="3" l="1"/>
  <c r="P16" i="3"/>
  <c r="Q16" i="3" s="1"/>
  <c r="R16" i="3" s="1"/>
  <c r="J17" i="2"/>
  <c r="J18" i="2" s="1"/>
  <c r="J19" i="2" s="1"/>
  <c r="J20" i="2" s="1"/>
  <c r="J21" i="2" s="1"/>
  <c r="G22" i="2"/>
  <c r="H22" i="2" s="1"/>
  <c r="F23" i="2" s="1"/>
  <c r="I16" i="3" l="1"/>
  <c r="P17" i="3"/>
  <c r="Q17" i="3" s="1"/>
  <c r="R17" i="3" s="1"/>
  <c r="J22" i="2"/>
  <c r="G23" i="2"/>
  <c r="H23" i="2" s="1"/>
  <c r="F24" i="2" s="1"/>
  <c r="I17" i="3" l="1"/>
  <c r="P18" i="3"/>
  <c r="Q18" i="3" s="1"/>
  <c r="R18" i="3" s="1"/>
  <c r="J23" i="2"/>
  <c r="G24" i="2"/>
  <c r="H24" i="2" s="1"/>
  <c r="F25" i="2" s="1"/>
  <c r="I18" i="3" l="1"/>
  <c r="P19" i="3"/>
  <c r="Q19" i="3" s="1"/>
  <c r="R19" i="3" s="1"/>
  <c r="J24" i="2"/>
  <c r="G25" i="2"/>
  <c r="H25" i="2" s="1"/>
  <c r="F26" i="2" s="1"/>
  <c r="I19" i="3" l="1"/>
  <c r="P20" i="3"/>
  <c r="Q20" i="3" s="1"/>
  <c r="R20" i="3" s="1"/>
  <c r="J25" i="2"/>
  <c r="G26" i="2"/>
  <c r="H26" i="2" s="1"/>
  <c r="F27" i="2" s="1"/>
  <c r="I20" i="3" l="1"/>
  <c r="P21" i="3"/>
  <c r="Q21" i="3" s="1"/>
  <c r="R21" i="3" s="1"/>
  <c r="J26" i="2"/>
  <c r="G27" i="2"/>
  <c r="H27" i="2" s="1"/>
  <c r="F28" i="2" s="1"/>
  <c r="I21" i="3" l="1"/>
  <c r="P22" i="3"/>
  <c r="Q22" i="3" s="1"/>
  <c r="R22" i="3" s="1"/>
  <c r="J27" i="2"/>
  <c r="G28" i="2"/>
  <c r="H28" i="2" s="1"/>
  <c r="F29" i="2" s="1"/>
  <c r="I22" i="3" l="1"/>
  <c r="P23" i="3"/>
  <c r="Q23" i="3" s="1"/>
  <c r="R23" i="3" s="1"/>
  <c r="J28" i="2"/>
  <c r="G29" i="2"/>
  <c r="H29" i="2" s="1"/>
  <c r="F30" i="2" s="1"/>
  <c r="I23" i="3" l="1"/>
  <c r="P24" i="3"/>
  <c r="Q24" i="3" s="1"/>
  <c r="R24" i="3" s="1"/>
  <c r="J29" i="2"/>
  <c r="G30" i="2"/>
  <c r="H30" i="2" s="1"/>
  <c r="F31" i="2" s="1"/>
  <c r="I24" i="3" l="1"/>
  <c r="P25" i="3"/>
  <c r="Q25" i="3" s="1"/>
  <c r="R25" i="3" s="1"/>
  <c r="J30" i="2"/>
  <c r="G31" i="2"/>
  <c r="H31" i="2" s="1"/>
  <c r="F32" i="2" s="1"/>
  <c r="I25" i="3" l="1"/>
  <c r="P26" i="3"/>
  <c r="Q26" i="3" s="1"/>
  <c r="R26" i="3" s="1"/>
  <c r="J31" i="2"/>
  <c r="G32" i="2"/>
  <c r="H32" i="2" s="1"/>
  <c r="F33" i="2" s="1"/>
  <c r="I26" i="3" l="1"/>
  <c r="P27" i="3"/>
  <c r="Q27" i="3" s="1"/>
  <c r="R27" i="3" s="1"/>
  <c r="J32" i="2"/>
  <c r="G33" i="2"/>
  <c r="H33" i="2" s="1"/>
  <c r="F34" i="2" s="1"/>
  <c r="I27" i="3" l="1"/>
  <c r="P28" i="3"/>
  <c r="Q28" i="3" s="1"/>
  <c r="R28" i="3" s="1"/>
  <c r="J33" i="2"/>
  <c r="G34" i="2"/>
  <c r="H34" i="2" s="1"/>
  <c r="F35" i="2" s="1"/>
  <c r="I28" i="3" l="1"/>
  <c r="P29" i="3"/>
  <c r="Q29" i="3" s="1"/>
  <c r="R29" i="3" s="1"/>
  <c r="J34" i="2"/>
  <c r="G35" i="2"/>
  <c r="H35" i="2" s="1"/>
  <c r="F36" i="2" s="1"/>
  <c r="I29" i="3" l="1"/>
  <c r="P30" i="3"/>
  <c r="Q30" i="3" s="1"/>
  <c r="R30" i="3" s="1"/>
  <c r="J35" i="2"/>
  <c r="G36" i="2"/>
  <c r="H36" i="2" s="1"/>
  <c r="F37" i="2" s="1"/>
  <c r="I30" i="3" l="1"/>
  <c r="P31" i="3"/>
  <c r="Q31" i="3" s="1"/>
  <c r="R31" i="3" s="1"/>
  <c r="J36" i="2"/>
  <c r="G37" i="2"/>
  <c r="H37" i="2" s="1"/>
  <c r="F38" i="2" s="1"/>
  <c r="I31" i="3" l="1"/>
  <c r="P32" i="3"/>
  <c r="Q32" i="3" s="1"/>
  <c r="R32" i="3" s="1"/>
  <c r="J37" i="2"/>
  <c r="G38" i="2"/>
  <c r="H38" i="2" s="1"/>
  <c r="F39" i="2" s="1"/>
  <c r="I32" i="3" l="1"/>
  <c r="P33" i="3"/>
  <c r="Q33" i="3" s="1"/>
  <c r="R33" i="3" s="1"/>
  <c r="J38" i="2"/>
  <c r="G39" i="2"/>
  <c r="H39" i="2" s="1"/>
  <c r="F40" i="2" s="1"/>
  <c r="I33" i="3" l="1"/>
  <c r="P34" i="3"/>
  <c r="Q34" i="3" s="1"/>
  <c r="R34" i="3" s="1"/>
  <c r="J39" i="2"/>
  <c r="G40" i="2"/>
  <c r="H40" i="2" s="1"/>
  <c r="F41" i="2" s="1"/>
  <c r="I34" i="3" l="1"/>
  <c r="P35" i="3"/>
  <c r="Q35" i="3" s="1"/>
  <c r="R35" i="3" s="1"/>
  <c r="J40" i="2"/>
  <c r="G41" i="2"/>
  <c r="H41" i="2" s="1"/>
  <c r="F42" i="2" s="1"/>
  <c r="I35" i="3" l="1"/>
  <c r="P36" i="3"/>
  <c r="Q36" i="3" s="1"/>
  <c r="R36" i="3" s="1"/>
  <c r="J41" i="2"/>
  <c r="G42" i="2"/>
  <c r="H42" i="2" s="1"/>
  <c r="F43" i="2" s="1"/>
  <c r="I36" i="3" l="1"/>
  <c r="P37" i="3"/>
  <c r="Q37" i="3" s="1"/>
  <c r="R37" i="3" s="1"/>
  <c r="J42" i="2"/>
  <c r="G43" i="2"/>
  <c r="H43" i="2" s="1"/>
  <c r="F44" i="2" s="1"/>
  <c r="I37" i="3" l="1"/>
  <c r="P38" i="3"/>
  <c r="Q38" i="3" s="1"/>
  <c r="R38" i="3" s="1"/>
  <c r="J43" i="2"/>
  <c r="G44" i="2"/>
  <c r="H44" i="2" s="1"/>
  <c r="F45" i="2" s="1"/>
  <c r="I38" i="3" l="1"/>
  <c r="P39" i="3"/>
  <c r="Q39" i="3" s="1"/>
  <c r="R39" i="3" s="1"/>
  <c r="J44" i="2"/>
  <c r="G45" i="2"/>
  <c r="H45" i="2" s="1"/>
  <c r="F46" i="2" s="1"/>
  <c r="I39" i="3" l="1"/>
  <c r="P40" i="3"/>
  <c r="Q40" i="3" s="1"/>
  <c r="R40" i="3" s="1"/>
  <c r="J45" i="2"/>
  <c r="G46" i="2"/>
  <c r="H46" i="2" s="1"/>
  <c r="F47" i="2" s="1"/>
  <c r="I40" i="3" l="1"/>
  <c r="P41" i="3"/>
  <c r="Q41" i="3" s="1"/>
  <c r="R41" i="3" s="1"/>
  <c r="J46" i="2"/>
  <c r="G47" i="2"/>
  <c r="H47" i="2" s="1"/>
  <c r="F48" i="2" s="1"/>
  <c r="I41" i="3" l="1"/>
  <c r="P42" i="3"/>
  <c r="Q42" i="3" s="1"/>
  <c r="R42" i="3" s="1"/>
  <c r="J47" i="2"/>
  <c r="G48" i="2"/>
  <c r="H48" i="2" s="1"/>
  <c r="F49" i="2" s="1"/>
  <c r="I42" i="3" l="1"/>
  <c r="P43" i="3"/>
  <c r="Q43" i="3" s="1"/>
  <c r="R43" i="3" s="1"/>
  <c r="J48" i="2"/>
  <c r="G49" i="2"/>
  <c r="H49" i="2" s="1"/>
  <c r="F50" i="2" s="1"/>
  <c r="I43" i="3" l="1"/>
  <c r="P44" i="3"/>
  <c r="Q44" i="3" s="1"/>
  <c r="R44" i="3" s="1"/>
  <c r="J49" i="2"/>
  <c r="G50" i="2"/>
  <c r="H50" i="2" s="1"/>
  <c r="F51" i="2" s="1"/>
  <c r="I44" i="3" l="1"/>
  <c r="P45" i="3"/>
  <c r="Q45" i="3" s="1"/>
  <c r="R45" i="3" s="1"/>
  <c r="J50" i="2"/>
  <c r="G51" i="2"/>
  <c r="H51" i="2" s="1"/>
  <c r="F52" i="2" s="1"/>
  <c r="I45" i="3" l="1"/>
  <c r="P46" i="3"/>
  <c r="Q46" i="3" s="1"/>
  <c r="R46" i="3" s="1"/>
  <c r="J51" i="2"/>
  <c r="G52" i="2"/>
  <c r="H52" i="2" s="1"/>
  <c r="F53" i="2" s="1"/>
  <c r="I46" i="3" l="1"/>
  <c r="P47" i="3"/>
  <c r="Q47" i="3" s="1"/>
  <c r="R47" i="3" s="1"/>
  <c r="J52" i="2"/>
  <c r="G53" i="2"/>
  <c r="H53" i="2" s="1"/>
  <c r="F54" i="2" s="1"/>
  <c r="I47" i="3" l="1"/>
  <c r="P48" i="3"/>
  <c r="Q48" i="3" s="1"/>
  <c r="R48" i="3" s="1"/>
  <c r="J53" i="2"/>
  <c r="G54" i="2"/>
  <c r="H54" i="2" s="1"/>
  <c r="F55" i="2" s="1"/>
  <c r="I48" i="3" l="1"/>
  <c r="P49" i="3"/>
  <c r="Q49" i="3" s="1"/>
  <c r="R49" i="3" s="1"/>
  <c r="J54" i="2"/>
  <c r="G55" i="2"/>
  <c r="H55" i="2" s="1"/>
  <c r="F56" i="2" s="1"/>
  <c r="I49" i="3" l="1"/>
  <c r="P50" i="3"/>
  <c r="Q50" i="3" s="1"/>
  <c r="R50" i="3" s="1"/>
  <c r="J55" i="2"/>
  <c r="G56" i="2"/>
  <c r="H56" i="2" s="1"/>
  <c r="F57" i="2" s="1"/>
  <c r="I50" i="3" l="1"/>
  <c r="P51" i="3"/>
  <c r="Q51" i="3" s="1"/>
  <c r="R51" i="3" s="1"/>
  <c r="J56" i="2"/>
  <c r="G57" i="2"/>
  <c r="H57" i="2" s="1"/>
  <c r="F58" i="2" s="1"/>
  <c r="I51" i="3" l="1"/>
  <c r="P52" i="3"/>
  <c r="Q52" i="3" s="1"/>
  <c r="R52" i="3" s="1"/>
  <c r="J57" i="2"/>
  <c r="G58" i="2"/>
  <c r="H58" i="2" s="1"/>
  <c r="F59" i="2" s="1"/>
  <c r="I52" i="3" l="1"/>
  <c r="P53" i="3"/>
  <c r="Q53" i="3" s="1"/>
  <c r="R53" i="3" s="1"/>
  <c r="J58" i="2"/>
  <c r="G59" i="2"/>
  <c r="H59" i="2" s="1"/>
  <c r="F60" i="2" s="1"/>
  <c r="I53" i="3" l="1"/>
  <c r="P54" i="3"/>
  <c r="Q54" i="3" s="1"/>
  <c r="R54" i="3" s="1"/>
  <c r="J59" i="2"/>
  <c r="G60" i="2"/>
  <c r="H60" i="2" s="1"/>
  <c r="F61" i="2" s="1"/>
  <c r="I54" i="3" l="1"/>
  <c r="P55" i="3"/>
  <c r="Q55" i="3" s="1"/>
  <c r="R55" i="3" s="1"/>
  <c r="J60" i="2"/>
  <c r="G61" i="2"/>
  <c r="H61" i="2" s="1"/>
  <c r="F62" i="2" s="1"/>
  <c r="I55" i="3" l="1"/>
  <c r="P56" i="3"/>
  <c r="Q56" i="3" s="1"/>
  <c r="R56" i="3" s="1"/>
  <c r="J61" i="2"/>
  <c r="G62" i="2"/>
  <c r="H62" i="2" s="1"/>
  <c r="F63" i="2" s="1"/>
  <c r="I56" i="3" l="1"/>
  <c r="P57" i="3"/>
  <c r="Q57" i="3" s="1"/>
  <c r="R57" i="3" s="1"/>
  <c r="J62" i="2"/>
  <c r="G63" i="2"/>
  <c r="H63" i="2" s="1"/>
  <c r="F64" i="2" s="1"/>
  <c r="I57" i="3" l="1"/>
  <c r="P58" i="3"/>
  <c r="Q58" i="3" s="1"/>
  <c r="R58" i="3" s="1"/>
  <c r="J63" i="2"/>
  <c r="G64" i="2"/>
  <c r="H64" i="2" s="1"/>
  <c r="F65" i="2" s="1"/>
  <c r="I58" i="3" l="1"/>
  <c r="P59" i="3"/>
  <c r="Q59" i="3" s="1"/>
  <c r="R59" i="3" s="1"/>
  <c r="J64" i="2"/>
  <c r="G65" i="2"/>
  <c r="H65" i="2" s="1"/>
  <c r="F66" i="2" s="1"/>
  <c r="I59" i="3" l="1"/>
  <c r="P60" i="3"/>
  <c r="Q60" i="3" s="1"/>
  <c r="R60" i="3" s="1"/>
  <c r="J65" i="2"/>
  <c r="G66" i="2"/>
  <c r="H66" i="2" s="1"/>
  <c r="F67" i="2" s="1"/>
  <c r="I60" i="3" l="1"/>
  <c r="P61" i="3"/>
  <c r="Q61" i="3" s="1"/>
  <c r="R61" i="3" s="1"/>
  <c r="J66" i="2"/>
  <c r="G67" i="2"/>
  <c r="H67" i="2" s="1"/>
  <c r="F68" i="2" s="1"/>
  <c r="I61" i="3" l="1"/>
  <c r="P62" i="3"/>
  <c r="Q62" i="3" s="1"/>
  <c r="R62" i="3" s="1"/>
  <c r="J67" i="2"/>
  <c r="G68" i="2"/>
  <c r="H68" i="2" s="1"/>
  <c r="F69" i="2" s="1"/>
  <c r="I62" i="3" l="1"/>
  <c r="P63" i="3"/>
  <c r="Q63" i="3" s="1"/>
  <c r="R63" i="3" s="1"/>
  <c r="J68" i="2"/>
  <c r="G69" i="2"/>
  <c r="H69" i="2" s="1"/>
  <c r="F70" i="2" s="1"/>
  <c r="I63" i="3" l="1"/>
  <c r="P64" i="3"/>
  <c r="Q64" i="3" s="1"/>
  <c r="R64" i="3" s="1"/>
  <c r="J69" i="2"/>
  <c r="G70" i="2"/>
  <c r="H70" i="2" s="1"/>
  <c r="F71" i="2" s="1"/>
  <c r="I64" i="3" l="1"/>
  <c r="P65" i="3"/>
  <c r="Q65" i="3" s="1"/>
  <c r="R65" i="3" s="1"/>
  <c r="J70" i="2"/>
  <c r="G71" i="2"/>
  <c r="H71" i="2" s="1"/>
  <c r="F72" i="2" s="1"/>
  <c r="I65" i="3" l="1"/>
  <c r="P66" i="3"/>
  <c r="Q66" i="3" s="1"/>
  <c r="R66" i="3" s="1"/>
  <c r="J71" i="2"/>
  <c r="G72" i="2"/>
  <c r="H72" i="2" s="1"/>
  <c r="F73" i="2" s="1"/>
  <c r="I66" i="3" l="1"/>
  <c r="P67" i="3"/>
  <c r="Q67" i="3" s="1"/>
  <c r="R67" i="3" s="1"/>
  <c r="J72" i="2"/>
  <c r="G73" i="2"/>
  <c r="H73" i="2" s="1"/>
  <c r="F74" i="2" s="1"/>
  <c r="I67" i="3" l="1"/>
  <c r="P68" i="3"/>
  <c r="Q68" i="3" s="1"/>
  <c r="R68" i="3" s="1"/>
  <c r="J73" i="2"/>
  <c r="G74" i="2"/>
  <c r="H74" i="2" s="1"/>
  <c r="F75" i="2" s="1"/>
  <c r="I68" i="3" l="1"/>
  <c r="P69" i="3"/>
  <c r="Q69" i="3" s="1"/>
  <c r="R69" i="3" s="1"/>
  <c r="J74" i="2"/>
  <c r="G75" i="2"/>
  <c r="H75" i="2" s="1"/>
  <c r="F76" i="2" s="1"/>
  <c r="I69" i="3" l="1"/>
  <c r="P70" i="3"/>
  <c r="Q70" i="3" s="1"/>
  <c r="R70" i="3" s="1"/>
  <c r="J75" i="2"/>
  <c r="G76" i="2"/>
  <c r="H76" i="2" s="1"/>
  <c r="F77" i="2" s="1"/>
  <c r="I70" i="3" l="1"/>
  <c r="P71" i="3"/>
  <c r="Q71" i="3" s="1"/>
  <c r="R71" i="3" s="1"/>
  <c r="J76" i="2"/>
  <c r="G77" i="2"/>
  <c r="H77" i="2" s="1"/>
  <c r="F78" i="2" s="1"/>
  <c r="I71" i="3" l="1"/>
  <c r="P72" i="3"/>
  <c r="Q72" i="3" s="1"/>
  <c r="R72" i="3" s="1"/>
  <c r="J77" i="2"/>
  <c r="G78" i="2"/>
  <c r="H78" i="2" s="1"/>
  <c r="F79" i="2" s="1"/>
  <c r="I72" i="3" l="1"/>
  <c r="P73" i="3"/>
  <c r="Q73" i="3" s="1"/>
  <c r="R73" i="3" s="1"/>
  <c r="J78" i="2"/>
  <c r="G79" i="2"/>
  <c r="H79" i="2" s="1"/>
  <c r="F80" i="2" s="1"/>
  <c r="I73" i="3" l="1"/>
  <c r="P74" i="3"/>
  <c r="Q74" i="3" s="1"/>
  <c r="R74" i="3" s="1"/>
  <c r="J79" i="2"/>
  <c r="G80" i="2"/>
  <c r="H80" i="2" s="1"/>
  <c r="F81" i="2" s="1"/>
  <c r="I74" i="3" l="1"/>
  <c r="P75" i="3"/>
  <c r="Q75" i="3" s="1"/>
  <c r="R75" i="3" s="1"/>
  <c r="J80" i="2"/>
  <c r="G81" i="2"/>
  <c r="H81" i="2" s="1"/>
  <c r="F82" i="2" s="1"/>
  <c r="I75" i="3" l="1"/>
  <c r="P76" i="3"/>
  <c r="Q76" i="3" s="1"/>
  <c r="R76" i="3" s="1"/>
  <c r="J81" i="2"/>
  <c r="G82" i="2"/>
  <c r="H82" i="2" s="1"/>
  <c r="F83" i="2" s="1"/>
  <c r="I76" i="3" l="1"/>
  <c r="P77" i="3"/>
  <c r="Q77" i="3" s="1"/>
  <c r="R77" i="3" s="1"/>
  <c r="J82" i="2"/>
  <c r="G83" i="2"/>
  <c r="H83" i="2" s="1"/>
  <c r="F84" i="2" s="1"/>
  <c r="I77" i="3" l="1"/>
  <c r="P78" i="3"/>
  <c r="Q78" i="3" s="1"/>
  <c r="R78" i="3" s="1"/>
  <c r="J83" i="2"/>
  <c r="G84" i="2"/>
  <c r="H84" i="2" s="1"/>
  <c r="F85" i="2" s="1"/>
  <c r="I78" i="3" l="1"/>
  <c r="P79" i="3"/>
  <c r="Q79" i="3" s="1"/>
  <c r="R79" i="3" s="1"/>
  <c r="J84" i="2"/>
  <c r="G85" i="2"/>
  <c r="H85" i="2" s="1"/>
  <c r="F86" i="2" s="1"/>
  <c r="I79" i="3" l="1"/>
  <c r="P80" i="3"/>
  <c r="Q80" i="3" s="1"/>
  <c r="R80" i="3" s="1"/>
  <c r="J85" i="2"/>
  <c r="G86" i="2"/>
  <c r="H86" i="2" s="1"/>
  <c r="F87" i="2" s="1"/>
  <c r="I80" i="3" l="1"/>
  <c r="P81" i="3"/>
  <c r="Q81" i="3" s="1"/>
  <c r="R81" i="3" s="1"/>
  <c r="J86" i="2"/>
  <c r="G87" i="2"/>
  <c r="H87" i="2" s="1"/>
  <c r="F88" i="2" s="1"/>
  <c r="I81" i="3" l="1"/>
  <c r="P82" i="3"/>
  <c r="Q82" i="3" s="1"/>
  <c r="R82" i="3" s="1"/>
  <c r="J87" i="2"/>
  <c r="G88" i="2"/>
  <c r="H88" i="2" s="1"/>
  <c r="F89" i="2" s="1"/>
  <c r="I82" i="3" l="1"/>
  <c r="P83" i="3"/>
  <c r="Q83" i="3" s="1"/>
  <c r="R83" i="3" s="1"/>
  <c r="J88" i="2"/>
  <c r="G89" i="2"/>
  <c r="H89" i="2" s="1"/>
  <c r="F90" i="2" s="1"/>
  <c r="I83" i="3" l="1"/>
  <c r="P84" i="3"/>
  <c r="Q84" i="3" s="1"/>
  <c r="R84" i="3" s="1"/>
  <c r="J89" i="2"/>
  <c r="G90" i="2"/>
  <c r="H90" i="2" s="1"/>
  <c r="F91" i="2" s="1"/>
  <c r="I84" i="3" l="1"/>
  <c r="P85" i="3"/>
  <c r="Q85" i="3" s="1"/>
  <c r="R85" i="3" s="1"/>
  <c r="J90" i="2"/>
  <c r="G91" i="2"/>
  <c r="H91" i="2" s="1"/>
  <c r="F92" i="2" s="1"/>
  <c r="I85" i="3" l="1"/>
  <c r="P86" i="3"/>
  <c r="Q86" i="3" s="1"/>
  <c r="R86" i="3" s="1"/>
  <c r="J91" i="2"/>
  <c r="G92" i="2"/>
  <c r="H92" i="2" s="1"/>
  <c r="F93" i="2" s="1"/>
  <c r="I86" i="3" l="1"/>
  <c r="P87" i="3"/>
  <c r="Q87" i="3" s="1"/>
  <c r="R87" i="3" s="1"/>
  <c r="J92" i="2"/>
  <c r="G93" i="2"/>
  <c r="H93" i="2" s="1"/>
  <c r="F94" i="2" s="1"/>
  <c r="I87" i="3" l="1"/>
  <c r="P88" i="3"/>
  <c r="Q88" i="3" s="1"/>
  <c r="R88" i="3" s="1"/>
  <c r="J93" i="2"/>
  <c r="G94" i="2"/>
  <c r="H94" i="2" s="1"/>
  <c r="F95" i="2" s="1"/>
  <c r="I88" i="3" l="1"/>
  <c r="P89" i="3"/>
  <c r="Q89" i="3" s="1"/>
  <c r="R89" i="3" s="1"/>
  <c r="J94" i="2"/>
  <c r="G95" i="2"/>
  <c r="H95" i="2" s="1"/>
  <c r="F96" i="2" s="1"/>
  <c r="I89" i="3" l="1"/>
  <c r="P90" i="3"/>
  <c r="Q90" i="3" s="1"/>
  <c r="R90" i="3" s="1"/>
  <c r="J95" i="2"/>
  <c r="G96" i="2"/>
  <c r="H96" i="2" s="1"/>
  <c r="F97" i="2" s="1"/>
  <c r="I90" i="3" l="1"/>
  <c r="P91" i="3"/>
  <c r="Q91" i="3" s="1"/>
  <c r="R91" i="3" s="1"/>
  <c r="J96" i="2"/>
  <c r="G97" i="2"/>
  <c r="H97" i="2" s="1"/>
  <c r="F98" i="2" s="1"/>
  <c r="I91" i="3" l="1"/>
  <c r="P92" i="3"/>
  <c r="Q92" i="3" s="1"/>
  <c r="R92" i="3" s="1"/>
  <c r="J97" i="2"/>
  <c r="G98" i="2"/>
  <c r="H98" i="2" s="1"/>
  <c r="F99" i="2" s="1"/>
  <c r="I92" i="3" l="1"/>
  <c r="P93" i="3"/>
  <c r="Q93" i="3" s="1"/>
  <c r="R93" i="3" s="1"/>
  <c r="J98" i="2"/>
  <c r="G99" i="2"/>
  <c r="H99" i="2" s="1"/>
  <c r="F100" i="2" s="1"/>
  <c r="I93" i="3" l="1"/>
  <c r="P94" i="3"/>
  <c r="Q94" i="3" s="1"/>
  <c r="R94" i="3" s="1"/>
  <c r="J99" i="2"/>
  <c r="G100" i="2"/>
  <c r="H100" i="2" s="1"/>
  <c r="F101" i="2" s="1"/>
  <c r="I94" i="3" l="1"/>
  <c r="P95" i="3"/>
  <c r="Q95" i="3" s="1"/>
  <c r="R95" i="3" s="1"/>
  <c r="J100" i="2"/>
  <c r="G101" i="2"/>
  <c r="H101" i="2" s="1"/>
  <c r="F102" i="2" s="1"/>
  <c r="I95" i="3" l="1"/>
  <c r="P96" i="3"/>
  <c r="Q96" i="3" s="1"/>
  <c r="R96" i="3" s="1"/>
  <c r="J101" i="2"/>
  <c r="G102" i="2"/>
  <c r="H102" i="2" s="1"/>
  <c r="F103" i="2" s="1"/>
  <c r="I96" i="3" l="1"/>
  <c r="P97" i="3"/>
  <c r="Q97" i="3" s="1"/>
  <c r="R97" i="3" s="1"/>
  <c r="J102" i="2"/>
  <c r="G103" i="2"/>
  <c r="H103" i="2" s="1"/>
  <c r="F104" i="2" s="1"/>
  <c r="I97" i="3" l="1"/>
  <c r="P98" i="3"/>
  <c r="Q98" i="3" s="1"/>
  <c r="R98" i="3" s="1"/>
  <c r="J103" i="2"/>
  <c r="G104" i="2"/>
  <c r="H104" i="2" s="1"/>
  <c r="F105" i="2" s="1"/>
  <c r="I98" i="3" l="1"/>
  <c r="P99" i="3"/>
  <c r="Q99" i="3" s="1"/>
  <c r="R99" i="3" s="1"/>
  <c r="J104" i="2"/>
  <c r="G105" i="2"/>
  <c r="H105" i="2" s="1"/>
  <c r="F106" i="2" s="1"/>
  <c r="I99" i="3" l="1"/>
  <c r="P100" i="3"/>
  <c r="Q100" i="3" s="1"/>
  <c r="R100" i="3" s="1"/>
  <c r="J105" i="2"/>
  <c r="G106" i="2"/>
  <c r="H106" i="2" s="1"/>
  <c r="F107" i="2" s="1"/>
  <c r="I100" i="3" l="1"/>
  <c r="P101" i="3"/>
  <c r="Q101" i="3" s="1"/>
  <c r="R101" i="3" s="1"/>
  <c r="J106" i="2"/>
  <c r="G107" i="2"/>
  <c r="H107" i="2" s="1"/>
  <c r="F108" i="2" s="1"/>
  <c r="I101" i="3" l="1"/>
  <c r="P102" i="3"/>
  <c r="Q102" i="3" s="1"/>
  <c r="R102" i="3" s="1"/>
  <c r="J107" i="2"/>
  <c r="G108" i="2"/>
  <c r="H108" i="2" s="1"/>
  <c r="F109" i="2" s="1"/>
  <c r="I102" i="3" l="1"/>
  <c r="P103" i="3"/>
  <c r="Q103" i="3" s="1"/>
  <c r="R103" i="3" s="1"/>
  <c r="J108" i="2"/>
  <c r="G109" i="2"/>
  <c r="H109" i="2" s="1"/>
  <c r="F110" i="2" s="1"/>
  <c r="I103" i="3" l="1"/>
  <c r="P104" i="3"/>
  <c r="Q104" i="3" s="1"/>
  <c r="R104" i="3" s="1"/>
  <c r="J109" i="2"/>
  <c r="G110" i="2"/>
  <c r="H110" i="2" s="1"/>
  <c r="F111" i="2" s="1"/>
  <c r="I104" i="3" l="1"/>
  <c r="P105" i="3"/>
  <c r="Q105" i="3" s="1"/>
  <c r="R105" i="3" s="1"/>
  <c r="J110" i="2"/>
  <c r="G111" i="2"/>
  <c r="H111" i="2" s="1"/>
  <c r="F112" i="2" s="1"/>
  <c r="I105" i="3" l="1"/>
  <c r="P106" i="3"/>
  <c r="Q106" i="3" s="1"/>
  <c r="R106" i="3" s="1"/>
  <c r="J111" i="2"/>
  <c r="G112" i="2"/>
  <c r="H112" i="2" s="1"/>
  <c r="F113" i="2" s="1"/>
  <c r="I106" i="3" l="1"/>
  <c r="P107" i="3"/>
  <c r="Q107" i="3" s="1"/>
  <c r="R107" i="3" s="1"/>
  <c r="J112" i="2"/>
  <c r="G113" i="2"/>
  <c r="H113" i="2" s="1"/>
  <c r="F114" i="2" s="1"/>
  <c r="I107" i="3" l="1"/>
  <c r="P108" i="3"/>
  <c r="Q108" i="3" s="1"/>
  <c r="R108" i="3" s="1"/>
  <c r="J113" i="2"/>
  <c r="G114" i="2"/>
  <c r="H114" i="2" s="1"/>
  <c r="F115" i="2" s="1"/>
  <c r="I108" i="3" l="1"/>
  <c r="P109" i="3"/>
  <c r="Q109" i="3" s="1"/>
  <c r="R109" i="3" s="1"/>
  <c r="J114" i="2"/>
  <c r="G115" i="2"/>
  <c r="H115" i="2" s="1"/>
  <c r="F116" i="2" s="1"/>
  <c r="I109" i="3" l="1"/>
  <c r="P110" i="3"/>
  <c r="Q110" i="3" s="1"/>
  <c r="R110" i="3" s="1"/>
  <c r="J115" i="2"/>
  <c r="G116" i="2"/>
  <c r="H116" i="2" s="1"/>
  <c r="F117" i="2" s="1"/>
  <c r="I110" i="3" l="1"/>
  <c r="P111" i="3"/>
  <c r="Q111" i="3" s="1"/>
  <c r="R111" i="3" s="1"/>
  <c r="J116" i="2"/>
  <c r="G117" i="2"/>
  <c r="H117" i="2" s="1"/>
  <c r="F118" i="2" s="1"/>
  <c r="I111" i="3" l="1"/>
  <c r="P112" i="3"/>
  <c r="Q112" i="3" s="1"/>
  <c r="R112" i="3" s="1"/>
  <c r="J117" i="2"/>
  <c r="G118" i="2"/>
  <c r="H118" i="2" s="1"/>
  <c r="F119" i="2" s="1"/>
  <c r="I112" i="3" l="1"/>
  <c r="P113" i="3"/>
  <c r="Q113" i="3" s="1"/>
  <c r="R113" i="3" s="1"/>
  <c r="J118" i="2"/>
  <c r="G119" i="2"/>
  <c r="H119" i="2" s="1"/>
  <c r="F120" i="2" s="1"/>
  <c r="I113" i="3" l="1"/>
  <c r="P114" i="3"/>
  <c r="Q114" i="3" s="1"/>
  <c r="R114" i="3" s="1"/>
  <c r="J119" i="2"/>
  <c r="G120" i="2"/>
  <c r="H120" i="2" s="1"/>
  <c r="F121" i="2" s="1"/>
  <c r="I114" i="3" l="1"/>
  <c r="P115" i="3"/>
  <c r="Q115" i="3" s="1"/>
  <c r="R115" i="3" s="1"/>
  <c r="J120" i="2"/>
  <c r="G121" i="2"/>
  <c r="H121" i="2" s="1"/>
  <c r="F122" i="2" s="1"/>
  <c r="I115" i="3" l="1"/>
  <c r="P116" i="3"/>
  <c r="Q116" i="3" s="1"/>
  <c r="R116" i="3" s="1"/>
  <c r="J121" i="2"/>
  <c r="G122" i="2"/>
  <c r="H122" i="2" s="1"/>
  <c r="F123" i="2" s="1"/>
  <c r="I116" i="3" l="1"/>
  <c r="P117" i="3"/>
  <c r="Q117" i="3" s="1"/>
  <c r="R117" i="3" s="1"/>
  <c r="J122" i="2"/>
  <c r="G123" i="2"/>
  <c r="H123" i="2" s="1"/>
  <c r="F124" i="2" s="1"/>
  <c r="I117" i="3" l="1"/>
  <c r="P118" i="3"/>
  <c r="Q118" i="3" s="1"/>
  <c r="R118" i="3" s="1"/>
  <c r="J123" i="2"/>
  <c r="G124" i="2"/>
  <c r="H124" i="2" s="1"/>
  <c r="F125" i="2" s="1"/>
  <c r="I118" i="3" l="1"/>
  <c r="P119" i="3"/>
  <c r="Q119" i="3" s="1"/>
  <c r="R119" i="3" s="1"/>
  <c r="J124" i="2"/>
  <c r="G125" i="2"/>
  <c r="H125" i="2" s="1"/>
  <c r="F126" i="2" s="1"/>
  <c r="I119" i="3" l="1"/>
  <c r="P120" i="3"/>
  <c r="Q120" i="3" s="1"/>
  <c r="R120" i="3" s="1"/>
  <c r="J125" i="2"/>
  <c r="G126" i="2"/>
  <c r="H126" i="2" s="1"/>
  <c r="F127" i="2" s="1"/>
  <c r="I120" i="3" l="1"/>
  <c r="P121" i="3"/>
  <c r="Q121" i="3" s="1"/>
  <c r="R121" i="3" s="1"/>
  <c r="J126" i="2"/>
  <c r="G127" i="2"/>
  <c r="H127" i="2" s="1"/>
  <c r="F128" i="2" s="1"/>
  <c r="I121" i="3" l="1"/>
  <c r="P122" i="3"/>
  <c r="Q122" i="3" s="1"/>
  <c r="R122" i="3" s="1"/>
  <c r="J127" i="2"/>
  <c r="G128" i="2"/>
  <c r="H128" i="2" s="1"/>
  <c r="F129" i="2" s="1"/>
  <c r="I122" i="3" l="1"/>
  <c r="P123" i="3"/>
  <c r="Q123" i="3" s="1"/>
  <c r="R123" i="3" s="1"/>
  <c r="J128" i="2"/>
  <c r="G129" i="2"/>
  <c r="H129" i="2" s="1"/>
  <c r="F130" i="2" s="1"/>
  <c r="I123" i="3" l="1"/>
  <c r="P124" i="3"/>
  <c r="Q124" i="3" s="1"/>
  <c r="R124" i="3" s="1"/>
  <c r="J129" i="2"/>
  <c r="G130" i="2"/>
  <c r="H130" i="2" s="1"/>
  <c r="F131" i="2" s="1"/>
  <c r="I124" i="3" l="1"/>
  <c r="P125" i="3"/>
  <c r="Q125" i="3" s="1"/>
  <c r="R125" i="3" s="1"/>
  <c r="J130" i="2"/>
  <c r="G131" i="2"/>
  <c r="H131" i="2" s="1"/>
  <c r="F132" i="2" s="1"/>
  <c r="I125" i="3" l="1"/>
  <c r="P126" i="3"/>
  <c r="Q126" i="3" s="1"/>
  <c r="R126" i="3" s="1"/>
  <c r="J131" i="2"/>
  <c r="G132" i="2"/>
  <c r="H132" i="2" s="1"/>
  <c r="F133" i="2" s="1"/>
  <c r="I126" i="3" l="1"/>
  <c r="P127" i="3"/>
  <c r="Q127" i="3" s="1"/>
  <c r="R127" i="3" s="1"/>
  <c r="J132" i="2"/>
  <c r="G133" i="2"/>
  <c r="H133" i="2" s="1"/>
  <c r="F134" i="2" s="1"/>
  <c r="I127" i="3" l="1"/>
  <c r="P128" i="3"/>
  <c r="Q128" i="3" s="1"/>
  <c r="R128" i="3" s="1"/>
  <c r="J133" i="2"/>
  <c r="G134" i="2"/>
  <c r="H134" i="2" s="1"/>
  <c r="F135" i="2" s="1"/>
  <c r="I128" i="3" l="1"/>
  <c r="P129" i="3"/>
  <c r="Q129" i="3" s="1"/>
  <c r="R129" i="3" s="1"/>
  <c r="J134" i="2"/>
  <c r="G135" i="2"/>
  <c r="H135" i="2" s="1"/>
  <c r="F136" i="2" s="1"/>
  <c r="I129" i="3" l="1"/>
  <c r="P130" i="3"/>
  <c r="Q130" i="3" s="1"/>
  <c r="R130" i="3" s="1"/>
  <c r="J135" i="2"/>
  <c r="G136" i="2"/>
  <c r="H136" i="2" s="1"/>
  <c r="F137" i="2" s="1"/>
  <c r="I130" i="3" l="1"/>
  <c r="P131" i="3"/>
  <c r="Q131" i="3" s="1"/>
  <c r="R131" i="3" s="1"/>
  <c r="J136" i="2"/>
  <c r="G137" i="2"/>
  <c r="H137" i="2" s="1"/>
  <c r="F138" i="2" s="1"/>
  <c r="I131" i="3" l="1"/>
  <c r="P132" i="3"/>
  <c r="Q132" i="3" s="1"/>
  <c r="R132" i="3" s="1"/>
  <c r="J137" i="2"/>
  <c r="G138" i="2"/>
  <c r="H138" i="2" s="1"/>
  <c r="F139" i="2" s="1"/>
  <c r="I132" i="3" l="1"/>
  <c r="P133" i="3"/>
  <c r="Q133" i="3" s="1"/>
  <c r="R133" i="3" s="1"/>
  <c r="J138" i="2"/>
  <c r="G139" i="2"/>
  <c r="H139" i="2" s="1"/>
  <c r="F140" i="2" s="1"/>
  <c r="I133" i="3" l="1"/>
  <c r="P134" i="3"/>
  <c r="Q134" i="3" s="1"/>
  <c r="R134" i="3" s="1"/>
  <c r="J139" i="2"/>
  <c r="G140" i="2"/>
  <c r="H140" i="2" s="1"/>
  <c r="F141" i="2" s="1"/>
  <c r="I134" i="3" l="1"/>
  <c r="P135" i="3"/>
  <c r="Q135" i="3" s="1"/>
  <c r="R135" i="3" s="1"/>
  <c r="J140" i="2"/>
  <c r="G141" i="2"/>
  <c r="H141" i="2" s="1"/>
  <c r="F142" i="2" s="1"/>
  <c r="I135" i="3" l="1"/>
  <c r="P136" i="3"/>
  <c r="Q136" i="3" s="1"/>
  <c r="R136" i="3" s="1"/>
  <c r="J141" i="2"/>
  <c r="G142" i="2"/>
  <c r="H142" i="2" s="1"/>
  <c r="F143" i="2" s="1"/>
  <c r="I136" i="3" l="1"/>
  <c r="P137" i="3"/>
  <c r="Q137" i="3" s="1"/>
  <c r="R137" i="3" s="1"/>
  <c r="J142" i="2"/>
  <c r="G143" i="2"/>
  <c r="H143" i="2" s="1"/>
  <c r="F144" i="2" s="1"/>
  <c r="I137" i="3" l="1"/>
  <c r="P138" i="3"/>
  <c r="Q138" i="3" s="1"/>
  <c r="R138" i="3" s="1"/>
  <c r="J143" i="2"/>
  <c r="G144" i="2"/>
  <c r="H144" i="2" s="1"/>
  <c r="F145" i="2" s="1"/>
  <c r="I138" i="3" l="1"/>
  <c r="P139" i="3"/>
  <c r="Q139" i="3" s="1"/>
  <c r="R139" i="3" s="1"/>
  <c r="J144" i="2"/>
  <c r="G145" i="2"/>
  <c r="H145" i="2" s="1"/>
  <c r="F146" i="2" s="1"/>
  <c r="I139" i="3" l="1"/>
  <c r="P140" i="3"/>
  <c r="Q140" i="3" s="1"/>
  <c r="R140" i="3" s="1"/>
  <c r="J145" i="2"/>
  <c r="G146" i="2"/>
  <c r="H146" i="2" s="1"/>
  <c r="F147" i="2" s="1"/>
  <c r="I140" i="3" l="1"/>
  <c r="P141" i="3"/>
  <c r="Q141" i="3" s="1"/>
  <c r="R141" i="3" s="1"/>
  <c r="J146" i="2"/>
  <c r="G147" i="2"/>
  <c r="H147" i="2" s="1"/>
  <c r="F148" i="2" s="1"/>
  <c r="I141" i="3" l="1"/>
  <c r="P142" i="3"/>
  <c r="Q142" i="3" s="1"/>
  <c r="R142" i="3" s="1"/>
  <c r="J147" i="2"/>
  <c r="G148" i="2"/>
  <c r="H148" i="2" s="1"/>
  <c r="F149" i="2" s="1"/>
  <c r="I142" i="3" l="1"/>
  <c r="P143" i="3"/>
  <c r="Q143" i="3" s="1"/>
  <c r="R143" i="3" s="1"/>
  <c r="J148" i="2"/>
  <c r="G149" i="2"/>
  <c r="H149" i="2" s="1"/>
  <c r="F150" i="2" s="1"/>
  <c r="I143" i="3" l="1"/>
  <c r="P144" i="3"/>
  <c r="Q144" i="3" s="1"/>
  <c r="R144" i="3" s="1"/>
  <c r="J149" i="2"/>
  <c r="G150" i="2"/>
  <c r="H150" i="2" s="1"/>
  <c r="F151" i="2" s="1"/>
  <c r="I144" i="3" l="1"/>
  <c r="P145" i="3"/>
  <c r="Q145" i="3" s="1"/>
  <c r="R145" i="3" s="1"/>
  <c r="J150" i="2"/>
  <c r="G151" i="2"/>
  <c r="H151" i="2" s="1"/>
  <c r="F152" i="2" s="1"/>
  <c r="I145" i="3" l="1"/>
  <c r="P146" i="3"/>
  <c r="Q146" i="3" s="1"/>
  <c r="R146" i="3" s="1"/>
  <c r="J151" i="2"/>
  <c r="G152" i="2"/>
  <c r="H152" i="2" s="1"/>
  <c r="F153" i="2" s="1"/>
  <c r="I146" i="3" l="1"/>
  <c r="P147" i="3"/>
  <c r="Q147" i="3" s="1"/>
  <c r="R147" i="3" s="1"/>
  <c r="J152" i="2"/>
  <c r="G153" i="2"/>
  <c r="H153" i="2" s="1"/>
  <c r="F154" i="2" s="1"/>
  <c r="I147" i="3" l="1"/>
  <c r="P148" i="3"/>
  <c r="Q148" i="3" s="1"/>
  <c r="R148" i="3" s="1"/>
  <c r="J153" i="2"/>
  <c r="G154" i="2"/>
  <c r="H154" i="2" s="1"/>
  <c r="F155" i="2" s="1"/>
  <c r="I148" i="3" l="1"/>
  <c r="P149" i="3"/>
  <c r="Q149" i="3" s="1"/>
  <c r="R149" i="3" s="1"/>
  <c r="J154" i="2"/>
  <c r="G155" i="2"/>
  <c r="H155" i="2" s="1"/>
  <c r="F156" i="2" s="1"/>
  <c r="I149" i="3" l="1"/>
  <c r="P150" i="3"/>
  <c r="Q150" i="3" s="1"/>
  <c r="R150" i="3" s="1"/>
  <c r="J155" i="2"/>
  <c r="G156" i="2"/>
  <c r="H156" i="2" s="1"/>
  <c r="F157" i="2" s="1"/>
  <c r="I150" i="3" l="1"/>
  <c r="P151" i="3"/>
  <c r="Q151" i="3" s="1"/>
  <c r="R151" i="3" s="1"/>
  <c r="J156" i="2"/>
  <c r="G157" i="2"/>
  <c r="H157" i="2" s="1"/>
  <c r="F158" i="2" s="1"/>
  <c r="I151" i="3" l="1"/>
  <c r="P152" i="3"/>
  <c r="Q152" i="3" s="1"/>
  <c r="R152" i="3" s="1"/>
  <c r="J157" i="2"/>
  <c r="G158" i="2"/>
  <c r="H158" i="2" s="1"/>
  <c r="F159" i="2" s="1"/>
  <c r="I152" i="3" l="1"/>
  <c r="P153" i="3"/>
  <c r="Q153" i="3" s="1"/>
  <c r="R153" i="3" s="1"/>
  <c r="J158" i="2"/>
  <c r="G159" i="2"/>
  <c r="H159" i="2" s="1"/>
  <c r="F160" i="2" s="1"/>
  <c r="I153" i="3" l="1"/>
  <c r="P154" i="3"/>
  <c r="Q154" i="3" s="1"/>
  <c r="R154" i="3" s="1"/>
  <c r="J159" i="2"/>
  <c r="G160" i="2"/>
  <c r="H160" i="2" s="1"/>
  <c r="F161" i="2" s="1"/>
  <c r="I154" i="3" l="1"/>
  <c r="P155" i="3"/>
  <c r="Q155" i="3" s="1"/>
  <c r="R155" i="3" s="1"/>
  <c r="J160" i="2"/>
  <c r="G161" i="2"/>
  <c r="H161" i="2" s="1"/>
  <c r="F162" i="2" s="1"/>
  <c r="I155" i="3" l="1"/>
  <c r="P156" i="3"/>
  <c r="Q156" i="3" s="1"/>
  <c r="R156" i="3" s="1"/>
  <c r="J161" i="2"/>
  <c r="G162" i="2"/>
  <c r="H162" i="2" s="1"/>
  <c r="F163" i="2" s="1"/>
  <c r="I156" i="3" l="1"/>
  <c r="P157" i="3"/>
  <c r="Q157" i="3" s="1"/>
  <c r="R157" i="3" s="1"/>
  <c r="J162" i="2"/>
  <c r="G163" i="2"/>
  <c r="H163" i="2" s="1"/>
  <c r="F164" i="2" s="1"/>
  <c r="I157" i="3" l="1"/>
  <c r="P158" i="3"/>
  <c r="Q158" i="3" s="1"/>
  <c r="R158" i="3" s="1"/>
  <c r="J163" i="2"/>
  <c r="G164" i="2"/>
  <c r="H164" i="2" s="1"/>
  <c r="F165" i="2" s="1"/>
  <c r="I158" i="3" l="1"/>
  <c r="P159" i="3"/>
  <c r="Q159" i="3" s="1"/>
  <c r="R159" i="3" s="1"/>
  <c r="J164" i="2"/>
  <c r="G165" i="2"/>
  <c r="H165" i="2" s="1"/>
  <c r="F166" i="2" s="1"/>
  <c r="I159" i="3" l="1"/>
  <c r="P160" i="3"/>
  <c r="Q160" i="3" s="1"/>
  <c r="R160" i="3" s="1"/>
  <c r="J165" i="2"/>
  <c r="G166" i="2"/>
  <c r="H166" i="2" s="1"/>
  <c r="F167" i="2" s="1"/>
  <c r="I160" i="3" l="1"/>
  <c r="P161" i="3"/>
  <c r="Q161" i="3" s="1"/>
  <c r="R161" i="3" s="1"/>
  <c r="J166" i="2"/>
  <c r="G167" i="2"/>
  <c r="H167" i="2" s="1"/>
  <c r="F168" i="2" s="1"/>
  <c r="I161" i="3" l="1"/>
  <c r="P162" i="3"/>
  <c r="Q162" i="3" s="1"/>
  <c r="R162" i="3" s="1"/>
  <c r="J167" i="2"/>
  <c r="G168" i="2"/>
  <c r="H168" i="2" s="1"/>
  <c r="F169" i="2" s="1"/>
  <c r="I162" i="3" l="1"/>
  <c r="P163" i="3"/>
  <c r="Q163" i="3" s="1"/>
  <c r="R163" i="3" s="1"/>
  <c r="J168" i="2"/>
  <c r="G169" i="2"/>
  <c r="H169" i="2" s="1"/>
  <c r="F170" i="2" s="1"/>
  <c r="I163" i="3" l="1"/>
  <c r="P164" i="3"/>
  <c r="Q164" i="3" s="1"/>
  <c r="R164" i="3" s="1"/>
  <c r="J169" i="2"/>
  <c r="G170" i="2"/>
  <c r="H170" i="2" s="1"/>
  <c r="F171" i="2" s="1"/>
  <c r="I164" i="3" l="1"/>
  <c r="P165" i="3"/>
  <c r="Q165" i="3" s="1"/>
  <c r="R165" i="3" s="1"/>
  <c r="J170" i="2"/>
  <c r="G171" i="2"/>
  <c r="H171" i="2" s="1"/>
  <c r="F172" i="2" s="1"/>
  <c r="I165" i="3" l="1"/>
  <c r="P166" i="3"/>
  <c r="Q166" i="3" s="1"/>
  <c r="R166" i="3" s="1"/>
  <c r="J171" i="2"/>
  <c r="G172" i="2"/>
  <c r="H172" i="2" s="1"/>
  <c r="F173" i="2" s="1"/>
  <c r="I166" i="3" l="1"/>
  <c r="P167" i="3"/>
  <c r="Q167" i="3" s="1"/>
  <c r="R167" i="3" s="1"/>
  <c r="J172" i="2"/>
  <c r="G173" i="2"/>
  <c r="H173" i="2" s="1"/>
  <c r="F174" i="2" s="1"/>
  <c r="I167" i="3" l="1"/>
  <c r="P168" i="3"/>
  <c r="Q168" i="3" s="1"/>
  <c r="R168" i="3" s="1"/>
  <c r="J173" i="2"/>
  <c r="G174" i="2"/>
  <c r="H174" i="2" s="1"/>
  <c r="F175" i="2" s="1"/>
  <c r="I168" i="3" l="1"/>
  <c r="P169" i="3"/>
  <c r="Q169" i="3" s="1"/>
  <c r="R169" i="3" s="1"/>
  <c r="J174" i="2"/>
  <c r="G175" i="2"/>
  <c r="H175" i="2" s="1"/>
  <c r="F176" i="2" s="1"/>
  <c r="I169" i="3" l="1"/>
  <c r="P170" i="3"/>
  <c r="Q170" i="3" s="1"/>
  <c r="R170" i="3" s="1"/>
  <c r="J175" i="2"/>
  <c r="G176" i="2"/>
  <c r="H176" i="2" s="1"/>
  <c r="F177" i="2" s="1"/>
  <c r="I170" i="3" l="1"/>
  <c r="P171" i="3"/>
  <c r="Q171" i="3" s="1"/>
  <c r="R171" i="3" s="1"/>
  <c r="J176" i="2"/>
  <c r="G177" i="2"/>
  <c r="H177" i="2" s="1"/>
  <c r="F178" i="2" s="1"/>
  <c r="I171" i="3" l="1"/>
  <c r="P172" i="3"/>
  <c r="Q172" i="3" s="1"/>
  <c r="R172" i="3" s="1"/>
  <c r="J177" i="2"/>
  <c r="G178" i="2"/>
  <c r="H178" i="2" s="1"/>
  <c r="F179" i="2" s="1"/>
  <c r="I172" i="3" l="1"/>
  <c r="P173" i="3"/>
  <c r="Q173" i="3" s="1"/>
  <c r="R173" i="3" s="1"/>
  <c r="J178" i="2"/>
  <c r="G179" i="2"/>
  <c r="H179" i="2" s="1"/>
  <c r="F180" i="2" s="1"/>
  <c r="I173" i="3" l="1"/>
  <c r="P174" i="3"/>
  <c r="Q174" i="3" s="1"/>
  <c r="R174" i="3" s="1"/>
  <c r="J179" i="2"/>
  <c r="G180" i="2"/>
  <c r="H180" i="2" s="1"/>
  <c r="F181" i="2" s="1"/>
  <c r="I174" i="3" l="1"/>
  <c r="P175" i="3"/>
  <c r="Q175" i="3" s="1"/>
  <c r="R175" i="3" s="1"/>
  <c r="J180" i="2"/>
  <c r="G181" i="2"/>
  <c r="H181" i="2" s="1"/>
  <c r="F182" i="2" s="1"/>
  <c r="I175" i="3" l="1"/>
  <c r="P176" i="3"/>
  <c r="Q176" i="3" s="1"/>
  <c r="R176" i="3" s="1"/>
  <c r="J181" i="2"/>
  <c r="G182" i="2"/>
  <c r="H182" i="2" s="1"/>
  <c r="F183" i="2" s="1"/>
  <c r="I176" i="3" l="1"/>
  <c r="P177" i="3"/>
  <c r="Q177" i="3" s="1"/>
  <c r="R177" i="3" s="1"/>
  <c r="J182" i="2"/>
  <c r="G183" i="2"/>
  <c r="H183" i="2" s="1"/>
  <c r="F184" i="2" s="1"/>
  <c r="I177" i="3" l="1"/>
  <c r="P178" i="3"/>
  <c r="Q178" i="3" s="1"/>
  <c r="R178" i="3" s="1"/>
  <c r="J183" i="2"/>
  <c r="G184" i="2"/>
  <c r="H184" i="2" s="1"/>
  <c r="F185" i="2" s="1"/>
  <c r="I178" i="3" l="1"/>
  <c r="P179" i="3"/>
  <c r="Q179" i="3" s="1"/>
  <c r="R179" i="3" s="1"/>
  <c r="J184" i="2"/>
  <c r="G185" i="2"/>
  <c r="H185" i="2" s="1"/>
  <c r="F186" i="2" s="1"/>
  <c r="I179" i="3" l="1"/>
  <c r="P180" i="3"/>
  <c r="Q180" i="3" s="1"/>
  <c r="R180" i="3" s="1"/>
  <c r="J185" i="2"/>
  <c r="G186" i="2"/>
  <c r="H186" i="2" s="1"/>
  <c r="F187" i="2" s="1"/>
  <c r="I180" i="3" l="1"/>
  <c r="P181" i="3"/>
  <c r="Q181" i="3" s="1"/>
  <c r="R181" i="3" s="1"/>
  <c r="J186" i="2"/>
  <c r="G187" i="2"/>
  <c r="H187" i="2" s="1"/>
  <c r="F188" i="2" s="1"/>
  <c r="I181" i="3" l="1"/>
  <c r="P182" i="3"/>
  <c r="Q182" i="3" s="1"/>
  <c r="R182" i="3" s="1"/>
  <c r="J187" i="2"/>
  <c r="G188" i="2"/>
  <c r="H188" i="2" s="1"/>
  <c r="F189" i="2" s="1"/>
  <c r="I182" i="3" l="1"/>
  <c r="P183" i="3"/>
  <c r="Q183" i="3" s="1"/>
  <c r="R183" i="3" s="1"/>
  <c r="J188" i="2"/>
  <c r="G189" i="2"/>
  <c r="H189" i="2" s="1"/>
  <c r="F190" i="2" s="1"/>
  <c r="I183" i="3" l="1"/>
  <c r="P184" i="3"/>
  <c r="Q184" i="3" s="1"/>
  <c r="R184" i="3" s="1"/>
  <c r="J189" i="2"/>
  <c r="G190" i="2"/>
  <c r="H190" i="2" s="1"/>
  <c r="F191" i="2" s="1"/>
  <c r="I184" i="3" l="1"/>
  <c r="P185" i="3"/>
  <c r="Q185" i="3" s="1"/>
  <c r="R185" i="3" s="1"/>
  <c r="J190" i="2"/>
  <c r="G191" i="2"/>
  <c r="H191" i="2" s="1"/>
  <c r="F192" i="2" s="1"/>
  <c r="I185" i="3" l="1"/>
  <c r="P186" i="3"/>
  <c r="Q186" i="3" s="1"/>
  <c r="R186" i="3" s="1"/>
  <c r="J191" i="2"/>
  <c r="G192" i="2"/>
  <c r="H192" i="2" s="1"/>
  <c r="F193" i="2" s="1"/>
  <c r="I186" i="3" l="1"/>
  <c r="P187" i="3"/>
  <c r="Q187" i="3" s="1"/>
  <c r="R187" i="3" s="1"/>
  <c r="J192" i="2"/>
  <c r="G193" i="2"/>
  <c r="H193" i="2" s="1"/>
  <c r="F194" i="2" s="1"/>
  <c r="I187" i="3" l="1"/>
  <c r="P188" i="3"/>
  <c r="Q188" i="3" s="1"/>
  <c r="R188" i="3" s="1"/>
  <c r="J193" i="2"/>
  <c r="G194" i="2"/>
  <c r="H194" i="2" s="1"/>
  <c r="F195" i="2" s="1"/>
  <c r="I188" i="3" l="1"/>
  <c r="P189" i="3"/>
  <c r="Q189" i="3" s="1"/>
  <c r="R189" i="3" s="1"/>
  <c r="J194" i="2"/>
  <c r="G195" i="2"/>
  <c r="H195" i="2" s="1"/>
  <c r="F196" i="2" s="1"/>
  <c r="I189" i="3" l="1"/>
  <c r="P190" i="3"/>
  <c r="Q190" i="3" s="1"/>
  <c r="R190" i="3" s="1"/>
  <c r="J195" i="2"/>
  <c r="G196" i="2"/>
  <c r="H196" i="2" s="1"/>
  <c r="F197" i="2" s="1"/>
  <c r="I190" i="3" l="1"/>
  <c r="P191" i="3"/>
  <c r="Q191" i="3" s="1"/>
  <c r="R191" i="3" s="1"/>
  <c r="J196" i="2"/>
  <c r="G197" i="2"/>
  <c r="H197" i="2" s="1"/>
  <c r="F198" i="2" s="1"/>
  <c r="I191" i="3" l="1"/>
  <c r="P192" i="3"/>
  <c r="Q192" i="3" s="1"/>
  <c r="R192" i="3" s="1"/>
  <c r="J197" i="2"/>
  <c r="G198" i="2"/>
  <c r="H198" i="2" s="1"/>
  <c r="F199" i="2" s="1"/>
  <c r="I192" i="3" l="1"/>
  <c r="P193" i="3"/>
  <c r="Q193" i="3" s="1"/>
  <c r="R193" i="3" s="1"/>
  <c r="J198" i="2"/>
  <c r="G199" i="2"/>
  <c r="H199" i="2" s="1"/>
  <c r="F200" i="2" s="1"/>
  <c r="I193" i="3" l="1"/>
  <c r="P194" i="3"/>
  <c r="Q194" i="3" s="1"/>
  <c r="R194" i="3" s="1"/>
  <c r="J199" i="2"/>
  <c r="G200" i="2"/>
  <c r="H200" i="2" s="1"/>
  <c r="F201" i="2" s="1"/>
  <c r="I194" i="3" l="1"/>
  <c r="P195" i="3"/>
  <c r="Q195" i="3" s="1"/>
  <c r="R195" i="3" s="1"/>
  <c r="J200" i="2"/>
  <c r="G201" i="2"/>
  <c r="H201" i="2" s="1"/>
  <c r="F202" i="2" s="1"/>
  <c r="I195" i="3" l="1"/>
  <c r="P196" i="3"/>
  <c r="Q196" i="3" s="1"/>
  <c r="R196" i="3" s="1"/>
  <c r="J201" i="2"/>
  <c r="G202" i="2"/>
  <c r="H202" i="2" s="1"/>
  <c r="F203" i="2" s="1"/>
  <c r="I196" i="3" l="1"/>
  <c r="P197" i="3"/>
  <c r="Q197" i="3" s="1"/>
  <c r="R197" i="3" s="1"/>
  <c r="J202" i="2"/>
  <c r="G203" i="2"/>
  <c r="H203" i="2" s="1"/>
  <c r="F204" i="2" s="1"/>
  <c r="I197" i="3" l="1"/>
  <c r="P198" i="3"/>
  <c r="Q198" i="3" s="1"/>
  <c r="R198" i="3" s="1"/>
  <c r="J203" i="2"/>
  <c r="G204" i="2"/>
  <c r="H204" i="2" s="1"/>
  <c r="F205" i="2" s="1"/>
  <c r="I198" i="3" l="1"/>
  <c r="P199" i="3"/>
  <c r="Q199" i="3" s="1"/>
  <c r="R199" i="3" s="1"/>
  <c r="J204" i="2"/>
  <c r="G205" i="2"/>
  <c r="H205" i="2" s="1"/>
  <c r="F206" i="2" s="1"/>
  <c r="I199" i="3" l="1"/>
  <c r="P200" i="3"/>
  <c r="Q200" i="3" s="1"/>
  <c r="R200" i="3" s="1"/>
  <c r="J205" i="2"/>
  <c r="G206" i="2"/>
  <c r="H206" i="2" s="1"/>
  <c r="F207" i="2" s="1"/>
  <c r="I200" i="3" l="1"/>
  <c r="P201" i="3"/>
  <c r="Q201" i="3" s="1"/>
  <c r="R201" i="3" s="1"/>
  <c r="J206" i="2"/>
  <c r="G207" i="2"/>
  <c r="H207" i="2" s="1"/>
  <c r="F208" i="2" s="1"/>
  <c r="I201" i="3" l="1"/>
  <c r="P202" i="3"/>
  <c r="Q202" i="3" s="1"/>
  <c r="R202" i="3" s="1"/>
  <c r="J207" i="2"/>
  <c r="G208" i="2"/>
  <c r="H208" i="2" s="1"/>
  <c r="F209" i="2" s="1"/>
  <c r="I202" i="3" l="1"/>
  <c r="P203" i="3"/>
  <c r="Q203" i="3" s="1"/>
  <c r="R203" i="3" s="1"/>
  <c r="J208" i="2"/>
  <c r="G209" i="2"/>
  <c r="H209" i="2" s="1"/>
  <c r="F210" i="2" s="1"/>
  <c r="I203" i="3" l="1"/>
  <c r="P204" i="3"/>
  <c r="Q204" i="3" s="1"/>
  <c r="R204" i="3" s="1"/>
  <c r="J209" i="2"/>
  <c r="G210" i="2"/>
  <c r="H210" i="2" s="1"/>
  <c r="F211" i="2" s="1"/>
  <c r="I204" i="3" l="1"/>
  <c r="P205" i="3"/>
  <c r="Q205" i="3" s="1"/>
  <c r="R205" i="3" s="1"/>
  <c r="J210" i="2"/>
  <c r="G211" i="2"/>
  <c r="H211" i="2" s="1"/>
  <c r="F212" i="2" s="1"/>
  <c r="I205" i="3" l="1"/>
  <c r="P206" i="3"/>
  <c r="Q206" i="3" s="1"/>
  <c r="R206" i="3" s="1"/>
  <c r="J211" i="2"/>
  <c r="G212" i="2"/>
  <c r="H212" i="2" s="1"/>
  <c r="F213" i="2" s="1"/>
  <c r="I206" i="3" l="1"/>
  <c r="P207" i="3"/>
  <c r="Q207" i="3" s="1"/>
  <c r="R207" i="3" s="1"/>
  <c r="J212" i="2"/>
  <c r="G213" i="2"/>
  <c r="H213" i="2" s="1"/>
  <c r="F214" i="2" s="1"/>
  <c r="I207" i="3" l="1"/>
  <c r="P208" i="3"/>
  <c r="Q208" i="3" s="1"/>
  <c r="R208" i="3" s="1"/>
  <c r="J213" i="2"/>
  <c r="G214" i="2"/>
  <c r="H214" i="2" s="1"/>
  <c r="F215" i="2" s="1"/>
  <c r="I208" i="3" l="1"/>
  <c r="P209" i="3"/>
  <c r="Q209" i="3" s="1"/>
  <c r="R209" i="3" s="1"/>
  <c r="J214" i="2"/>
  <c r="G215" i="2"/>
  <c r="H215" i="2" s="1"/>
  <c r="F216" i="2" s="1"/>
  <c r="I209" i="3" l="1"/>
  <c r="P210" i="3"/>
  <c r="Q210" i="3" s="1"/>
  <c r="R210" i="3" s="1"/>
  <c r="J215" i="2"/>
  <c r="G216" i="2"/>
  <c r="H216" i="2" s="1"/>
  <c r="F217" i="2" s="1"/>
  <c r="I210" i="3" l="1"/>
  <c r="P211" i="3"/>
  <c r="Q211" i="3" s="1"/>
  <c r="R211" i="3" s="1"/>
  <c r="J216" i="2"/>
  <c r="G217" i="2"/>
  <c r="H217" i="2" s="1"/>
  <c r="F218" i="2" s="1"/>
  <c r="I211" i="3" l="1"/>
  <c r="P212" i="3"/>
  <c r="Q212" i="3" s="1"/>
  <c r="R212" i="3" s="1"/>
  <c r="J217" i="2"/>
  <c r="G218" i="2"/>
  <c r="H218" i="2" s="1"/>
  <c r="F219" i="2" s="1"/>
  <c r="I212" i="3" l="1"/>
  <c r="P213" i="3"/>
  <c r="Q213" i="3" s="1"/>
  <c r="R213" i="3" s="1"/>
  <c r="J218" i="2"/>
  <c r="G219" i="2"/>
  <c r="H219" i="2" s="1"/>
  <c r="F220" i="2" s="1"/>
  <c r="I213" i="3" l="1"/>
  <c r="P214" i="3"/>
  <c r="Q214" i="3" s="1"/>
  <c r="R214" i="3" s="1"/>
  <c r="J219" i="2"/>
  <c r="G220" i="2"/>
  <c r="H220" i="2" s="1"/>
  <c r="F221" i="2" s="1"/>
  <c r="I214" i="3" l="1"/>
  <c r="P215" i="3"/>
  <c r="Q215" i="3" s="1"/>
  <c r="R215" i="3" s="1"/>
  <c r="J220" i="2"/>
  <c r="G221" i="2"/>
  <c r="H221" i="2" s="1"/>
  <c r="F222" i="2" s="1"/>
  <c r="I215" i="3" l="1"/>
  <c r="P216" i="3"/>
  <c r="Q216" i="3" s="1"/>
  <c r="R216" i="3" s="1"/>
  <c r="J221" i="2"/>
  <c r="G222" i="2"/>
  <c r="H222" i="2" s="1"/>
  <c r="F223" i="2" s="1"/>
  <c r="I216" i="3" l="1"/>
  <c r="P217" i="3"/>
  <c r="Q217" i="3" s="1"/>
  <c r="R217" i="3" s="1"/>
  <c r="J222" i="2"/>
  <c r="G223" i="2"/>
  <c r="H223" i="2" s="1"/>
  <c r="F224" i="2" s="1"/>
  <c r="I217" i="3" l="1"/>
  <c r="P218" i="3"/>
  <c r="Q218" i="3" s="1"/>
  <c r="R218" i="3" s="1"/>
  <c r="J223" i="2"/>
  <c r="G224" i="2"/>
  <c r="H224" i="2" s="1"/>
  <c r="F225" i="2" s="1"/>
  <c r="I218" i="3" l="1"/>
  <c r="P219" i="3"/>
  <c r="Q219" i="3" s="1"/>
  <c r="R219" i="3" s="1"/>
  <c r="J224" i="2"/>
  <c r="G225" i="2"/>
  <c r="H225" i="2" s="1"/>
  <c r="F226" i="2" s="1"/>
  <c r="I219" i="3" l="1"/>
  <c r="P220" i="3"/>
  <c r="Q220" i="3" s="1"/>
  <c r="R220" i="3" s="1"/>
  <c r="J225" i="2"/>
  <c r="G226" i="2"/>
  <c r="H226" i="2" s="1"/>
  <c r="F227" i="2" s="1"/>
  <c r="I220" i="3" l="1"/>
  <c r="P221" i="3"/>
  <c r="Q221" i="3" s="1"/>
  <c r="R221" i="3" s="1"/>
  <c r="J226" i="2"/>
  <c r="G227" i="2"/>
  <c r="H227" i="2" s="1"/>
  <c r="F228" i="2" s="1"/>
  <c r="I221" i="3" l="1"/>
  <c r="P222" i="3"/>
  <c r="Q222" i="3" s="1"/>
  <c r="R222" i="3" s="1"/>
  <c r="J227" i="2"/>
  <c r="G228" i="2"/>
  <c r="H228" i="2" s="1"/>
  <c r="F229" i="2" s="1"/>
  <c r="I222" i="3" l="1"/>
  <c r="P223" i="3"/>
  <c r="Q223" i="3" s="1"/>
  <c r="R223" i="3" s="1"/>
  <c r="J228" i="2"/>
  <c r="G229" i="2"/>
  <c r="H229" i="2" s="1"/>
  <c r="F230" i="2" s="1"/>
  <c r="I223" i="3" l="1"/>
  <c r="P224" i="3"/>
  <c r="Q224" i="3" s="1"/>
  <c r="R224" i="3" s="1"/>
  <c r="J229" i="2"/>
  <c r="G230" i="2"/>
  <c r="H230" i="2" s="1"/>
  <c r="F231" i="2" s="1"/>
  <c r="I224" i="3" l="1"/>
  <c r="P225" i="3"/>
  <c r="Q225" i="3" s="1"/>
  <c r="R225" i="3" s="1"/>
  <c r="J230" i="2"/>
  <c r="G231" i="2"/>
  <c r="H231" i="2" s="1"/>
  <c r="F232" i="2" s="1"/>
  <c r="I225" i="3" l="1"/>
  <c r="P226" i="3"/>
  <c r="Q226" i="3" s="1"/>
  <c r="R226" i="3" s="1"/>
  <c r="J231" i="2"/>
  <c r="G232" i="2"/>
  <c r="H232" i="2" s="1"/>
  <c r="F233" i="2" s="1"/>
  <c r="I226" i="3" l="1"/>
  <c r="P227" i="3"/>
  <c r="Q227" i="3" s="1"/>
  <c r="R227" i="3" s="1"/>
  <c r="J232" i="2"/>
  <c r="G233" i="2"/>
  <c r="H233" i="2" s="1"/>
  <c r="F234" i="2" s="1"/>
  <c r="I227" i="3" l="1"/>
  <c r="P228" i="3"/>
  <c r="Q228" i="3" s="1"/>
  <c r="R228" i="3" s="1"/>
  <c r="J233" i="2"/>
  <c r="G234" i="2"/>
  <c r="H234" i="2" s="1"/>
  <c r="F235" i="2" s="1"/>
  <c r="I228" i="3" l="1"/>
  <c r="P229" i="3"/>
  <c r="Q229" i="3" s="1"/>
  <c r="R229" i="3" s="1"/>
  <c r="J234" i="2"/>
  <c r="G235" i="2"/>
  <c r="H235" i="2" s="1"/>
  <c r="F236" i="2" s="1"/>
  <c r="I229" i="3" l="1"/>
  <c r="P230" i="3"/>
  <c r="Q230" i="3" s="1"/>
  <c r="R230" i="3" s="1"/>
  <c r="J235" i="2"/>
  <c r="G236" i="2"/>
  <c r="H236" i="2" s="1"/>
  <c r="F237" i="2" s="1"/>
  <c r="I230" i="3" l="1"/>
  <c r="P231" i="3"/>
  <c r="Q231" i="3" s="1"/>
  <c r="R231" i="3" s="1"/>
  <c r="J236" i="2"/>
  <c r="G237" i="2"/>
  <c r="H237" i="2" s="1"/>
  <c r="F238" i="2" s="1"/>
  <c r="I231" i="3" l="1"/>
  <c r="P232" i="3"/>
  <c r="Q232" i="3" s="1"/>
  <c r="R232" i="3" s="1"/>
  <c r="J237" i="2"/>
  <c r="G238" i="2"/>
  <c r="H238" i="2" s="1"/>
  <c r="F239" i="2" s="1"/>
  <c r="I232" i="3" l="1"/>
  <c r="P233" i="3"/>
  <c r="Q233" i="3" s="1"/>
  <c r="R233" i="3" s="1"/>
  <c r="J238" i="2"/>
  <c r="G239" i="2"/>
  <c r="H239" i="2" s="1"/>
  <c r="F240" i="2" s="1"/>
  <c r="I233" i="3" l="1"/>
  <c r="P234" i="3"/>
  <c r="Q234" i="3" s="1"/>
  <c r="R234" i="3" s="1"/>
  <c r="J239" i="2"/>
  <c r="G240" i="2"/>
  <c r="H240" i="2" s="1"/>
  <c r="F241" i="2" s="1"/>
  <c r="I234" i="3" l="1"/>
  <c r="P235" i="3"/>
  <c r="Q235" i="3" s="1"/>
  <c r="R235" i="3" s="1"/>
  <c r="J240" i="2"/>
  <c r="G241" i="2"/>
  <c r="H241" i="2" s="1"/>
  <c r="F242" i="2" s="1"/>
  <c r="I235" i="3" l="1"/>
  <c r="P236" i="3"/>
  <c r="Q236" i="3" s="1"/>
  <c r="R236" i="3" s="1"/>
  <c r="J241" i="2"/>
  <c r="G242" i="2"/>
  <c r="H242" i="2" s="1"/>
  <c r="F243" i="2" s="1"/>
  <c r="I236" i="3" l="1"/>
  <c r="P237" i="3"/>
  <c r="Q237" i="3" s="1"/>
  <c r="R237" i="3" s="1"/>
  <c r="J242" i="2"/>
  <c r="G243" i="2"/>
  <c r="H243" i="2" s="1"/>
  <c r="F244" i="2" s="1"/>
  <c r="I237" i="3" l="1"/>
  <c r="P238" i="3"/>
  <c r="Q238" i="3" s="1"/>
  <c r="R238" i="3" s="1"/>
  <c r="J243" i="2"/>
  <c r="G244" i="2"/>
  <c r="H244" i="2" s="1"/>
  <c r="F245" i="2" s="1"/>
  <c r="I238" i="3" l="1"/>
  <c r="P239" i="3"/>
  <c r="Q239" i="3" s="1"/>
  <c r="R239" i="3" s="1"/>
  <c r="J244" i="2"/>
  <c r="G245" i="2"/>
  <c r="H245" i="2" s="1"/>
  <c r="F246" i="2" s="1"/>
  <c r="I239" i="3" l="1"/>
  <c r="P240" i="3"/>
  <c r="Q240" i="3" s="1"/>
  <c r="R240" i="3" s="1"/>
  <c r="J245" i="2"/>
  <c r="G246" i="2"/>
  <c r="H246" i="2" s="1"/>
  <c r="F247" i="2" s="1"/>
  <c r="I240" i="3" l="1"/>
  <c r="P241" i="3"/>
  <c r="Q241" i="3" s="1"/>
  <c r="R241" i="3" s="1"/>
  <c r="J246" i="2"/>
  <c r="G247" i="2"/>
  <c r="H247" i="2" s="1"/>
  <c r="F248" i="2" s="1"/>
  <c r="I241" i="3" l="1"/>
  <c r="P242" i="3"/>
  <c r="Q242" i="3" s="1"/>
  <c r="R242" i="3" s="1"/>
  <c r="J247" i="2"/>
  <c r="G248" i="2"/>
  <c r="H248" i="2" s="1"/>
  <c r="F249" i="2" s="1"/>
  <c r="I242" i="3" l="1"/>
  <c r="P243" i="3"/>
  <c r="Q243" i="3" s="1"/>
  <c r="R243" i="3" s="1"/>
  <c r="J248" i="2"/>
  <c r="G249" i="2"/>
  <c r="H249" i="2" s="1"/>
  <c r="F250" i="2" s="1"/>
  <c r="I243" i="3" l="1"/>
  <c r="P244" i="3"/>
  <c r="Q244" i="3" s="1"/>
  <c r="R244" i="3" s="1"/>
  <c r="J249" i="2"/>
  <c r="G250" i="2"/>
  <c r="H250" i="2" s="1"/>
  <c r="F251" i="2" s="1"/>
  <c r="I244" i="3" l="1"/>
  <c r="P245" i="3"/>
  <c r="Q245" i="3" s="1"/>
  <c r="R245" i="3" s="1"/>
  <c r="J250" i="2"/>
  <c r="G251" i="2"/>
  <c r="H251" i="2" s="1"/>
  <c r="F252" i="2" s="1"/>
  <c r="I245" i="3" l="1"/>
  <c r="P246" i="3"/>
  <c r="Q246" i="3" s="1"/>
  <c r="R246" i="3" s="1"/>
  <c r="J251" i="2"/>
  <c r="G252" i="2"/>
  <c r="H252" i="2" s="1"/>
  <c r="F253" i="2" s="1"/>
  <c r="I246" i="3" l="1"/>
  <c r="P247" i="3"/>
  <c r="Q247" i="3" s="1"/>
  <c r="R247" i="3" s="1"/>
  <c r="J252" i="2"/>
  <c r="G253" i="2"/>
  <c r="H253" i="2" s="1"/>
  <c r="F254" i="2" s="1"/>
  <c r="I247" i="3" l="1"/>
  <c r="P248" i="3"/>
  <c r="Q248" i="3" s="1"/>
  <c r="R248" i="3" s="1"/>
  <c r="J253" i="2"/>
  <c r="G254" i="2"/>
  <c r="H254" i="2" s="1"/>
  <c r="F255" i="2" s="1"/>
  <c r="I248" i="3" l="1"/>
  <c r="P249" i="3"/>
  <c r="Q249" i="3" s="1"/>
  <c r="R249" i="3" s="1"/>
  <c r="J254" i="2"/>
  <c r="G255" i="2"/>
  <c r="H255" i="2" s="1"/>
  <c r="F256" i="2" s="1"/>
  <c r="I249" i="3" l="1"/>
  <c r="P250" i="3"/>
  <c r="Q250" i="3" s="1"/>
  <c r="R250" i="3" s="1"/>
  <c r="J255" i="2"/>
  <c r="G256" i="2"/>
  <c r="H256" i="2" s="1"/>
  <c r="F257" i="2" s="1"/>
  <c r="I250" i="3" l="1"/>
  <c r="P251" i="3"/>
  <c r="Q251" i="3" s="1"/>
  <c r="R251" i="3" s="1"/>
  <c r="J256" i="2"/>
  <c r="G257" i="2"/>
  <c r="H257" i="2" s="1"/>
  <c r="F258" i="2" s="1"/>
  <c r="I251" i="3" l="1"/>
  <c r="P252" i="3"/>
  <c r="Q252" i="3" s="1"/>
  <c r="R252" i="3" s="1"/>
  <c r="J257" i="2"/>
  <c r="G258" i="2"/>
  <c r="H258" i="2" s="1"/>
  <c r="F259" i="2" s="1"/>
  <c r="I252" i="3" l="1"/>
  <c r="P253" i="3"/>
  <c r="Q253" i="3" s="1"/>
  <c r="R253" i="3" s="1"/>
  <c r="J258" i="2"/>
  <c r="G259" i="2"/>
  <c r="H259" i="2" s="1"/>
  <c r="F260" i="2" s="1"/>
  <c r="I253" i="3" l="1"/>
  <c r="P254" i="3"/>
  <c r="Q254" i="3" s="1"/>
  <c r="R254" i="3" s="1"/>
  <c r="J259" i="2"/>
  <c r="G260" i="2"/>
  <c r="H260" i="2" s="1"/>
  <c r="F261" i="2" s="1"/>
  <c r="I254" i="3" l="1"/>
  <c r="P255" i="3"/>
  <c r="Q255" i="3" s="1"/>
  <c r="R255" i="3" s="1"/>
  <c r="J260" i="2"/>
  <c r="G261" i="2"/>
  <c r="H261" i="2" s="1"/>
  <c r="F262" i="2" s="1"/>
  <c r="I255" i="3" l="1"/>
  <c r="P256" i="3"/>
  <c r="Q256" i="3" s="1"/>
  <c r="R256" i="3" s="1"/>
  <c r="J261" i="2"/>
  <c r="G262" i="2"/>
  <c r="H262" i="2" s="1"/>
  <c r="F263" i="2" s="1"/>
  <c r="I256" i="3" l="1"/>
  <c r="P257" i="3"/>
  <c r="Q257" i="3" s="1"/>
  <c r="R257" i="3" s="1"/>
  <c r="J262" i="2"/>
  <c r="G263" i="2"/>
  <c r="H263" i="2" s="1"/>
  <c r="F264" i="2" s="1"/>
  <c r="I257" i="3" l="1"/>
  <c r="P258" i="3"/>
  <c r="Q258" i="3" s="1"/>
  <c r="R258" i="3" s="1"/>
  <c r="J263" i="2"/>
  <c r="G264" i="2"/>
  <c r="H264" i="2" s="1"/>
  <c r="F265" i="2" s="1"/>
  <c r="I258" i="3" l="1"/>
  <c r="P259" i="3"/>
  <c r="Q259" i="3" s="1"/>
  <c r="R259" i="3" s="1"/>
  <c r="J264" i="2"/>
  <c r="G265" i="2"/>
  <c r="H265" i="2" s="1"/>
  <c r="F266" i="2" s="1"/>
  <c r="I259" i="3" l="1"/>
  <c r="P260" i="3"/>
  <c r="Q260" i="3" s="1"/>
  <c r="R260" i="3" s="1"/>
  <c r="J265" i="2"/>
  <c r="G266" i="2"/>
  <c r="H266" i="2" s="1"/>
  <c r="F267" i="2" s="1"/>
  <c r="I260" i="3" l="1"/>
  <c r="P261" i="3"/>
  <c r="Q261" i="3" s="1"/>
  <c r="R261" i="3" s="1"/>
  <c r="J266" i="2"/>
  <c r="G267" i="2"/>
  <c r="H267" i="2" s="1"/>
  <c r="F268" i="2" s="1"/>
  <c r="I261" i="3" l="1"/>
  <c r="P262" i="3"/>
  <c r="Q262" i="3" s="1"/>
  <c r="R262" i="3" s="1"/>
  <c r="J267" i="2"/>
  <c r="G268" i="2"/>
  <c r="H268" i="2" s="1"/>
  <c r="F269" i="2" s="1"/>
  <c r="I262" i="3" l="1"/>
  <c r="P263" i="3"/>
  <c r="Q263" i="3" s="1"/>
  <c r="R263" i="3" s="1"/>
  <c r="J268" i="2"/>
  <c r="G269" i="2"/>
  <c r="H269" i="2" s="1"/>
  <c r="F270" i="2" s="1"/>
  <c r="I263" i="3" l="1"/>
  <c r="P264" i="3"/>
  <c r="Q264" i="3" s="1"/>
  <c r="R264" i="3" s="1"/>
  <c r="J269" i="2"/>
  <c r="G270" i="2"/>
  <c r="H270" i="2" s="1"/>
  <c r="F271" i="2" s="1"/>
  <c r="I264" i="3" l="1"/>
  <c r="P265" i="3"/>
  <c r="Q265" i="3" s="1"/>
  <c r="R265" i="3" s="1"/>
  <c r="J270" i="2"/>
  <c r="G271" i="2"/>
  <c r="H271" i="2" s="1"/>
  <c r="F272" i="2" s="1"/>
  <c r="I265" i="3" l="1"/>
  <c r="P266" i="3"/>
  <c r="Q266" i="3" s="1"/>
  <c r="R266" i="3" s="1"/>
  <c r="J271" i="2"/>
  <c r="G272" i="2"/>
  <c r="H272" i="2" s="1"/>
  <c r="F273" i="2" s="1"/>
  <c r="I266" i="3" l="1"/>
  <c r="P267" i="3"/>
  <c r="Q267" i="3" s="1"/>
  <c r="R267" i="3" s="1"/>
  <c r="J272" i="2"/>
  <c r="G273" i="2"/>
  <c r="H273" i="2" s="1"/>
  <c r="F274" i="2" s="1"/>
  <c r="I267" i="3" l="1"/>
  <c r="P268" i="3"/>
  <c r="Q268" i="3" s="1"/>
  <c r="R268" i="3" s="1"/>
  <c r="J273" i="2"/>
  <c r="G274" i="2"/>
  <c r="H274" i="2" s="1"/>
  <c r="F275" i="2" s="1"/>
  <c r="I268" i="3" l="1"/>
  <c r="P269" i="3"/>
  <c r="Q269" i="3" s="1"/>
  <c r="R269" i="3" s="1"/>
  <c r="J274" i="2"/>
  <c r="G275" i="2"/>
  <c r="H275" i="2" s="1"/>
  <c r="F276" i="2" s="1"/>
  <c r="I269" i="3" l="1"/>
  <c r="P270" i="3"/>
  <c r="Q270" i="3" s="1"/>
  <c r="R270" i="3" s="1"/>
  <c r="J275" i="2"/>
  <c r="G276" i="2"/>
  <c r="H276" i="2" s="1"/>
  <c r="F277" i="2" s="1"/>
  <c r="I270" i="3" l="1"/>
  <c r="P271" i="3"/>
  <c r="Q271" i="3" s="1"/>
  <c r="R271" i="3" s="1"/>
  <c r="J276" i="2"/>
  <c r="G277" i="2"/>
  <c r="H277" i="2" s="1"/>
  <c r="F278" i="2" s="1"/>
  <c r="I271" i="3" l="1"/>
  <c r="P272" i="3"/>
  <c r="Q272" i="3" s="1"/>
  <c r="R272" i="3" s="1"/>
  <c r="J277" i="2"/>
  <c r="G278" i="2"/>
  <c r="H278" i="2" s="1"/>
  <c r="F279" i="2" s="1"/>
  <c r="I272" i="3" l="1"/>
  <c r="P273" i="3"/>
  <c r="Q273" i="3" s="1"/>
  <c r="R273" i="3" s="1"/>
  <c r="J278" i="2"/>
  <c r="G279" i="2"/>
  <c r="H279" i="2" s="1"/>
  <c r="F280" i="2" s="1"/>
  <c r="I273" i="3" l="1"/>
  <c r="P274" i="3"/>
  <c r="Q274" i="3" s="1"/>
  <c r="R274" i="3" s="1"/>
  <c r="J279" i="2"/>
  <c r="G280" i="2"/>
  <c r="H280" i="2" s="1"/>
  <c r="F281" i="2" s="1"/>
  <c r="I274" i="3" l="1"/>
  <c r="P275" i="3"/>
  <c r="Q275" i="3" s="1"/>
  <c r="R275" i="3" s="1"/>
  <c r="J280" i="2"/>
  <c r="G281" i="2"/>
  <c r="H281" i="2" s="1"/>
  <c r="F282" i="2" s="1"/>
  <c r="I275" i="3" l="1"/>
  <c r="P276" i="3"/>
  <c r="Q276" i="3" s="1"/>
  <c r="R276" i="3" s="1"/>
  <c r="J281" i="2"/>
  <c r="G282" i="2"/>
  <c r="H282" i="2" s="1"/>
  <c r="F283" i="2" s="1"/>
  <c r="I276" i="3" l="1"/>
  <c r="P277" i="3"/>
  <c r="Q277" i="3" s="1"/>
  <c r="R277" i="3" s="1"/>
  <c r="J282" i="2"/>
  <c r="G283" i="2"/>
  <c r="H283" i="2" s="1"/>
  <c r="F284" i="2" s="1"/>
  <c r="I277" i="3" l="1"/>
  <c r="P278" i="3"/>
  <c r="Q278" i="3" s="1"/>
  <c r="R278" i="3" s="1"/>
  <c r="J283" i="2"/>
  <c r="G284" i="2"/>
  <c r="H284" i="2" s="1"/>
  <c r="F285" i="2" s="1"/>
  <c r="I278" i="3" l="1"/>
  <c r="P279" i="3"/>
  <c r="Q279" i="3" s="1"/>
  <c r="R279" i="3" s="1"/>
  <c r="J284" i="2"/>
  <c r="G285" i="2"/>
  <c r="H285" i="2" s="1"/>
  <c r="F286" i="2" s="1"/>
  <c r="I279" i="3" l="1"/>
  <c r="P280" i="3"/>
  <c r="Q280" i="3" s="1"/>
  <c r="R280" i="3" s="1"/>
  <c r="J285" i="2"/>
  <c r="G286" i="2"/>
  <c r="H286" i="2" s="1"/>
  <c r="F287" i="2" s="1"/>
  <c r="I280" i="3" l="1"/>
  <c r="P281" i="3"/>
  <c r="Q281" i="3" s="1"/>
  <c r="R281" i="3" s="1"/>
  <c r="J286" i="2"/>
  <c r="G287" i="2"/>
  <c r="H287" i="2" s="1"/>
  <c r="F288" i="2" s="1"/>
  <c r="I281" i="3" l="1"/>
  <c r="P282" i="3"/>
  <c r="Q282" i="3" s="1"/>
  <c r="R282" i="3" s="1"/>
  <c r="J287" i="2"/>
  <c r="G288" i="2"/>
  <c r="H288" i="2" s="1"/>
  <c r="F289" i="2" s="1"/>
  <c r="I282" i="3" l="1"/>
  <c r="P283" i="3"/>
  <c r="Q283" i="3" s="1"/>
  <c r="R283" i="3" s="1"/>
  <c r="J288" i="2"/>
  <c r="G289" i="2"/>
  <c r="H289" i="2" s="1"/>
  <c r="F290" i="2" s="1"/>
  <c r="I283" i="3" l="1"/>
  <c r="P284" i="3"/>
  <c r="Q284" i="3" s="1"/>
  <c r="R284" i="3" s="1"/>
  <c r="J289" i="2"/>
  <c r="G290" i="2"/>
  <c r="H290" i="2" s="1"/>
  <c r="F291" i="2" s="1"/>
  <c r="I284" i="3" l="1"/>
  <c r="P285" i="3"/>
  <c r="Q285" i="3" s="1"/>
  <c r="R285" i="3" s="1"/>
  <c r="J290" i="2"/>
  <c r="G291" i="2"/>
  <c r="H291" i="2" s="1"/>
  <c r="F292" i="2" s="1"/>
  <c r="I285" i="3" l="1"/>
  <c r="P286" i="3"/>
  <c r="Q286" i="3" s="1"/>
  <c r="R286" i="3" s="1"/>
  <c r="J291" i="2"/>
  <c r="G292" i="2"/>
  <c r="H292" i="2" s="1"/>
  <c r="F293" i="2" s="1"/>
  <c r="I286" i="3" l="1"/>
  <c r="P287" i="3"/>
  <c r="Q287" i="3" s="1"/>
  <c r="R287" i="3" s="1"/>
  <c r="J292" i="2"/>
  <c r="G293" i="2"/>
  <c r="H293" i="2" s="1"/>
  <c r="F294" i="2" s="1"/>
  <c r="I287" i="3" l="1"/>
  <c r="P288" i="3"/>
  <c r="Q288" i="3" s="1"/>
  <c r="R288" i="3" s="1"/>
  <c r="J293" i="2"/>
  <c r="G294" i="2"/>
  <c r="H294" i="2" s="1"/>
  <c r="F295" i="2" s="1"/>
  <c r="I288" i="3" l="1"/>
  <c r="P289" i="3"/>
  <c r="Q289" i="3" s="1"/>
  <c r="R289" i="3" s="1"/>
  <c r="J294" i="2"/>
  <c r="G295" i="2"/>
  <c r="H295" i="2" s="1"/>
  <c r="F296" i="2" s="1"/>
  <c r="I289" i="3" l="1"/>
  <c r="P290" i="3"/>
  <c r="Q290" i="3" s="1"/>
  <c r="R290" i="3" s="1"/>
  <c r="J295" i="2"/>
  <c r="G296" i="2"/>
  <c r="H296" i="2" s="1"/>
  <c r="F297" i="2" s="1"/>
  <c r="I290" i="3" l="1"/>
  <c r="P291" i="3"/>
  <c r="Q291" i="3" s="1"/>
  <c r="R291" i="3" s="1"/>
  <c r="J296" i="2"/>
  <c r="G297" i="2"/>
  <c r="H297" i="2" s="1"/>
  <c r="F298" i="2" s="1"/>
  <c r="I291" i="3" l="1"/>
  <c r="P292" i="3"/>
  <c r="Q292" i="3" s="1"/>
  <c r="R292" i="3" s="1"/>
  <c r="J297" i="2"/>
  <c r="G298" i="2"/>
  <c r="H298" i="2" s="1"/>
  <c r="F299" i="2" s="1"/>
  <c r="I292" i="3" l="1"/>
  <c r="P293" i="3"/>
  <c r="Q293" i="3" s="1"/>
  <c r="R293" i="3" s="1"/>
  <c r="J298" i="2"/>
  <c r="G299" i="2"/>
  <c r="H299" i="2" s="1"/>
  <c r="F300" i="2" s="1"/>
  <c r="I293" i="3" l="1"/>
  <c r="P294" i="3"/>
  <c r="Q294" i="3" s="1"/>
  <c r="R294" i="3" s="1"/>
  <c r="J299" i="2"/>
  <c r="G300" i="2"/>
  <c r="H300" i="2" s="1"/>
  <c r="F301" i="2" s="1"/>
  <c r="I294" i="3" l="1"/>
  <c r="P295" i="3"/>
  <c r="Q295" i="3" s="1"/>
  <c r="R295" i="3" s="1"/>
  <c r="J300" i="2"/>
  <c r="G301" i="2"/>
  <c r="H301" i="2" s="1"/>
  <c r="F302" i="2" s="1"/>
  <c r="I295" i="3" l="1"/>
  <c r="P296" i="3"/>
  <c r="Q296" i="3" s="1"/>
  <c r="R296" i="3" s="1"/>
  <c r="J301" i="2"/>
  <c r="G302" i="2"/>
  <c r="H302" i="2" s="1"/>
  <c r="F303" i="2" s="1"/>
  <c r="I296" i="3" l="1"/>
  <c r="P297" i="3"/>
  <c r="Q297" i="3" s="1"/>
  <c r="R297" i="3" s="1"/>
  <c r="J302" i="2"/>
  <c r="G303" i="2"/>
  <c r="H303" i="2" s="1"/>
  <c r="F304" i="2" s="1"/>
  <c r="I297" i="3" l="1"/>
  <c r="P298" i="3"/>
  <c r="Q298" i="3" s="1"/>
  <c r="R298" i="3" s="1"/>
  <c r="J303" i="2"/>
  <c r="G304" i="2"/>
  <c r="H304" i="2" s="1"/>
  <c r="F305" i="2" s="1"/>
  <c r="I298" i="3" l="1"/>
  <c r="P299" i="3"/>
  <c r="Q299" i="3" s="1"/>
  <c r="R299" i="3" s="1"/>
  <c r="J304" i="2"/>
  <c r="G305" i="2"/>
  <c r="H305" i="2" s="1"/>
  <c r="F306" i="2" s="1"/>
  <c r="I299" i="3" l="1"/>
  <c r="P300" i="3"/>
  <c r="Q300" i="3" s="1"/>
  <c r="R300" i="3" s="1"/>
  <c r="J305" i="2"/>
  <c r="G306" i="2"/>
  <c r="H306" i="2" s="1"/>
  <c r="F307" i="2" s="1"/>
  <c r="I300" i="3" l="1"/>
  <c r="P301" i="3"/>
  <c r="Q301" i="3" s="1"/>
  <c r="R301" i="3" s="1"/>
  <c r="J306" i="2"/>
  <c r="G307" i="2"/>
  <c r="H307" i="2" s="1"/>
  <c r="F308" i="2" s="1"/>
  <c r="I301" i="3" l="1"/>
  <c r="P302" i="3"/>
  <c r="Q302" i="3" s="1"/>
  <c r="R302" i="3" s="1"/>
  <c r="J307" i="2"/>
  <c r="G308" i="2"/>
  <c r="H308" i="2" s="1"/>
  <c r="F309" i="2" s="1"/>
  <c r="I302" i="3" l="1"/>
  <c r="P303" i="3"/>
  <c r="Q303" i="3" s="1"/>
  <c r="R303" i="3" s="1"/>
  <c r="J308" i="2"/>
  <c r="G309" i="2"/>
  <c r="H309" i="2" s="1"/>
  <c r="F310" i="2" s="1"/>
  <c r="I303" i="3" l="1"/>
  <c r="P304" i="3"/>
  <c r="Q304" i="3" s="1"/>
  <c r="R304" i="3" s="1"/>
  <c r="J309" i="2"/>
  <c r="G310" i="2"/>
  <c r="H310" i="2" s="1"/>
  <c r="F311" i="2" s="1"/>
  <c r="I304" i="3" l="1"/>
  <c r="P305" i="3"/>
  <c r="Q305" i="3" s="1"/>
  <c r="R305" i="3" s="1"/>
  <c r="J310" i="2"/>
  <c r="G311" i="2"/>
  <c r="H311" i="2" s="1"/>
  <c r="F312" i="2" s="1"/>
  <c r="I305" i="3" l="1"/>
  <c r="P306" i="3"/>
  <c r="Q306" i="3" s="1"/>
  <c r="R306" i="3" s="1"/>
  <c r="J311" i="2"/>
  <c r="G312" i="2"/>
  <c r="H312" i="2" s="1"/>
  <c r="F313" i="2" s="1"/>
  <c r="I306" i="3" l="1"/>
  <c r="P307" i="3"/>
  <c r="Q307" i="3" s="1"/>
  <c r="R307" i="3" s="1"/>
  <c r="J312" i="2"/>
  <c r="G313" i="2"/>
  <c r="H313" i="2" s="1"/>
  <c r="F314" i="2" s="1"/>
  <c r="I307" i="3" l="1"/>
  <c r="P308" i="3"/>
  <c r="Q308" i="3" s="1"/>
  <c r="R308" i="3" s="1"/>
  <c r="J313" i="2"/>
  <c r="G314" i="2"/>
  <c r="H314" i="2" s="1"/>
  <c r="F315" i="2" s="1"/>
  <c r="I308" i="3" l="1"/>
  <c r="P309" i="3"/>
  <c r="Q309" i="3" s="1"/>
  <c r="R309" i="3" s="1"/>
  <c r="J314" i="2"/>
  <c r="G315" i="2"/>
  <c r="H315" i="2" s="1"/>
  <c r="F316" i="2" s="1"/>
  <c r="I309" i="3" l="1"/>
  <c r="P310" i="3"/>
  <c r="Q310" i="3" s="1"/>
  <c r="R310" i="3" s="1"/>
  <c r="J315" i="2"/>
  <c r="G316" i="2"/>
  <c r="H316" i="2" s="1"/>
  <c r="F317" i="2" s="1"/>
  <c r="I310" i="3" l="1"/>
  <c r="P311" i="3"/>
  <c r="Q311" i="3" s="1"/>
  <c r="R311" i="3" s="1"/>
  <c r="J316" i="2"/>
  <c r="G317" i="2"/>
  <c r="H317" i="2" s="1"/>
  <c r="F318" i="2" s="1"/>
  <c r="I311" i="3" l="1"/>
  <c r="P312" i="3"/>
  <c r="Q312" i="3" s="1"/>
  <c r="R312" i="3" s="1"/>
  <c r="J317" i="2"/>
  <c r="G318" i="2"/>
  <c r="H318" i="2" s="1"/>
  <c r="F319" i="2" s="1"/>
  <c r="I312" i="3" l="1"/>
  <c r="P313" i="3"/>
  <c r="Q313" i="3" s="1"/>
  <c r="R313" i="3" s="1"/>
  <c r="J318" i="2"/>
  <c r="G319" i="2"/>
  <c r="H319" i="2" s="1"/>
  <c r="F320" i="2" s="1"/>
  <c r="I313" i="3" l="1"/>
  <c r="P314" i="3"/>
  <c r="Q314" i="3" s="1"/>
  <c r="R314" i="3" s="1"/>
  <c r="J319" i="2"/>
  <c r="G320" i="2"/>
  <c r="H320" i="2" s="1"/>
  <c r="F321" i="2" s="1"/>
  <c r="I314" i="3" l="1"/>
  <c r="P315" i="3"/>
  <c r="Q315" i="3" s="1"/>
  <c r="R315" i="3" s="1"/>
  <c r="J320" i="2"/>
  <c r="G321" i="2"/>
  <c r="H321" i="2" s="1"/>
  <c r="F322" i="2" s="1"/>
  <c r="I315" i="3" l="1"/>
  <c r="P316" i="3"/>
  <c r="Q316" i="3" s="1"/>
  <c r="R316" i="3" s="1"/>
  <c r="J321" i="2"/>
  <c r="G322" i="2"/>
  <c r="H322" i="2" s="1"/>
  <c r="F323" i="2" s="1"/>
  <c r="I316" i="3" l="1"/>
  <c r="P317" i="3"/>
  <c r="Q317" i="3" s="1"/>
  <c r="R317" i="3" s="1"/>
  <c r="J322" i="2"/>
  <c r="G323" i="2"/>
  <c r="H323" i="2" s="1"/>
  <c r="F324" i="2" s="1"/>
  <c r="I317" i="3" l="1"/>
  <c r="P318" i="3"/>
  <c r="Q318" i="3" s="1"/>
  <c r="R318" i="3" s="1"/>
  <c r="J323" i="2"/>
  <c r="G324" i="2"/>
  <c r="H324" i="2" s="1"/>
  <c r="F325" i="2" s="1"/>
  <c r="I318" i="3" l="1"/>
  <c r="P319" i="3"/>
  <c r="Q319" i="3" s="1"/>
  <c r="R319" i="3" s="1"/>
  <c r="J324" i="2"/>
  <c r="G325" i="2"/>
  <c r="H325" i="2" s="1"/>
  <c r="F326" i="2" s="1"/>
  <c r="I319" i="3" l="1"/>
  <c r="P320" i="3"/>
  <c r="Q320" i="3" s="1"/>
  <c r="R320" i="3" s="1"/>
  <c r="J325" i="2"/>
  <c r="G326" i="2"/>
  <c r="H326" i="2" s="1"/>
  <c r="F327" i="2" s="1"/>
  <c r="I320" i="3" l="1"/>
  <c r="P321" i="3"/>
  <c r="Q321" i="3" s="1"/>
  <c r="R321" i="3" s="1"/>
  <c r="J326" i="2"/>
  <c r="G327" i="2"/>
  <c r="H327" i="2" s="1"/>
  <c r="F328" i="2" s="1"/>
  <c r="I321" i="3" l="1"/>
  <c r="P322" i="3"/>
  <c r="Q322" i="3" s="1"/>
  <c r="R322" i="3" s="1"/>
  <c r="J327" i="2"/>
  <c r="G328" i="2"/>
  <c r="H328" i="2" s="1"/>
  <c r="F329" i="2" s="1"/>
  <c r="I322" i="3" l="1"/>
  <c r="P323" i="3"/>
  <c r="Q323" i="3" s="1"/>
  <c r="R323" i="3" s="1"/>
  <c r="J328" i="2"/>
  <c r="G329" i="2"/>
  <c r="H329" i="2" s="1"/>
  <c r="F330" i="2" s="1"/>
  <c r="I323" i="3" l="1"/>
  <c r="P324" i="3"/>
  <c r="Q324" i="3" s="1"/>
  <c r="R324" i="3" s="1"/>
  <c r="J329" i="2"/>
  <c r="G330" i="2"/>
  <c r="H330" i="2" s="1"/>
  <c r="F331" i="2" s="1"/>
  <c r="I324" i="3" l="1"/>
  <c r="P325" i="3"/>
  <c r="Q325" i="3" s="1"/>
  <c r="R325" i="3" s="1"/>
  <c r="J330" i="2"/>
  <c r="G331" i="2"/>
  <c r="H331" i="2" s="1"/>
  <c r="F332" i="2" s="1"/>
  <c r="I325" i="3" l="1"/>
  <c r="P326" i="3"/>
  <c r="Q326" i="3" s="1"/>
  <c r="R326" i="3" s="1"/>
  <c r="J331" i="2"/>
  <c r="G332" i="2"/>
  <c r="H332" i="2" s="1"/>
  <c r="F333" i="2" s="1"/>
  <c r="I326" i="3" l="1"/>
  <c r="P327" i="3"/>
  <c r="Q327" i="3" s="1"/>
  <c r="R327" i="3" s="1"/>
  <c r="J332" i="2"/>
  <c r="G333" i="2"/>
  <c r="H333" i="2" s="1"/>
  <c r="F334" i="2" s="1"/>
  <c r="I327" i="3" l="1"/>
  <c r="P328" i="3"/>
  <c r="Q328" i="3" s="1"/>
  <c r="R328" i="3" s="1"/>
  <c r="J333" i="2"/>
  <c r="G334" i="2"/>
  <c r="H334" i="2" s="1"/>
  <c r="F335" i="2" s="1"/>
  <c r="I328" i="3" l="1"/>
  <c r="P329" i="3"/>
  <c r="Q329" i="3" s="1"/>
  <c r="R329" i="3" s="1"/>
  <c r="J334" i="2"/>
  <c r="G335" i="2"/>
  <c r="H335" i="2" s="1"/>
  <c r="F336" i="2" s="1"/>
  <c r="I329" i="3" l="1"/>
  <c r="P330" i="3"/>
  <c r="Q330" i="3" s="1"/>
  <c r="R330" i="3" s="1"/>
  <c r="J335" i="2"/>
  <c r="G336" i="2"/>
  <c r="H336" i="2" s="1"/>
  <c r="F337" i="2" s="1"/>
  <c r="I330" i="3" l="1"/>
  <c r="P331" i="3"/>
  <c r="Q331" i="3" s="1"/>
  <c r="R331" i="3" s="1"/>
  <c r="J336" i="2"/>
  <c r="G337" i="2"/>
  <c r="H337" i="2" s="1"/>
  <c r="F338" i="2" s="1"/>
  <c r="I331" i="3" l="1"/>
  <c r="P332" i="3"/>
  <c r="Q332" i="3" s="1"/>
  <c r="R332" i="3" s="1"/>
  <c r="J337" i="2"/>
  <c r="G338" i="2"/>
  <c r="H338" i="2" s="1"/>
  <c r="F339" i="2" s="1"/>
  <c r="I332" i="3" l="1"/>
  <c r="P333" i="3"/>
  <c r="Q333" i="3" s="1"/>
  <c r="R333" i="3" s="1"/>
  <c r="J338" i="2"/>
  <c r="G339" i="2"/>
  <c r="H339" i="2" s="1"/>
  <c r="F340" i="2" s="1"/>
  <c r="I333" i="3" l="1"/>
  <c r="P334" i="3"/>
  <c r="Q334" i="3" s="1"/>
  <c r="R334" i="3" s="1"/>
  <c r="J339" i="2"/>
  <c r="G340" i="2"/>
  <c r="H340" i="2" s="1"/>
  <c r="F341" i="2" s="1"/>
  <c r="I334" i="3" l="1"/>
  <c r="P335" i="3"/>
  <c r="Q335" i="3" s="1"/>
  <c r="R335" i="3" s="1"/>
  <c r="J340" i="2"/>
  <c r="G341" i="2"/>
  <c r="H341" i="2" s="1"/>
  <c r="F342" i="2" s="1"/>
  <c r="I335" i="3" l="1"/>
  <c r="P336" i="3"/>
  <c r="Q336" i="3" s="1"/>
  <c r="R336" i="3" s="1"/>
  <c r="J341" i="2"/>
  <c r="G342" i="2"/>
  <c r="H342" i="2" s="1"/>
  <c r="F343" i="2" s="1"/>
  <c r="I336" i="3" l="1"/>
  <c r="P337" i="3"/>
  <c r="Q337" i="3" s="1"/>
  <c r="R337" i="3" s="1"/>
  <c r="J342" i="2"/>
  <c r="G343" i="2"/>
  <c r="H343" i="2" s="1"/>
  <c r="F344" i="2" s="1"/>
  <c r="I337" i="3" l="1"/>
  <c r="P338" i="3"/>
  <c r="Q338" i="3" s="1"/>
  <c r="R338" i="3" s="1"/>
  <c r="J343" i="2"/>
  <c r="G344" i="2"/>
  <c r="H344" i="2" s="1"/>
  <c r="F345" i="2" s="1"/>
  <c r="I338" i="3" l="1"/>
  <c r="P339" i="3"/>
  <c r="Q339" i="3" s="1"/>
  <c r="R339" i="3" s="1"/>
  <c r="J344" i="2"/>
  <c r="G345" i="2"/>
  <c r="H345" i="2" s="1"/>
  <c r="F346" i="2" s="1"/>
  <c r="I339" i="3" l="1"/>
  <c r="P340" i="3"/>
  <c r="Q340" i="3" s="1"/>
  <c r="R340" i="3" s="1"/>
  <c r="J345" i="2"/>
  <c r="G346" i="2"/>
  <c r="H346" i="2" s="1"/>
  <c r="F347" i="2" s="1"/>
  <c r="I340" i="3" l="1"/>
  <c r="P341" i="3"/>
  <c r="Q341" i="3" s="1"/>
  <c r="R341" i="3" s="1"/>
  <c r="J346" i="2"/>
  <c r="G347" i="2"/>
  <c r="H347" i="2" s="1"/>
  <c r="F348" i="2" s="1"/>
  <c r="I341" i="3" l="1"/>
  <c r="P342" i="3"/>
  <c r="Q342" i="3" s="1"/>
  <c r="R342" i="3" s="1"/>
  <c r="J347" i="2"/>
  <c r="G348" i="2"/>
  <c r="H348" i="2" s="1"/>
  <c r="F349" i="2" s="1"/>
  <c r="I342" i="3" l="1"/>
  <c r="P343" i="3"/>
  <c r="Q343" i="3" s="1"/>
  <c r="R343" i="3" s="1"/>
  <c r="J348" i="2"/>
  <c r="G349" i="2"/>
  <c r="H349" i="2" s="1"/>
  <c r="F350" i="2" s="1"/>
  <c r="I343" i="3" l="1"/>
  <c r="P344" i="3"/>
  <c r="Q344" i="3" s="1"/>
  <c r="R344" i="3" s="1"/>
  <c r="J349" i="2"/>
  <c r="G350" i="2"/>
  <c r="H350" i="2" s="1"/>
  <c r="F351" i="2" s="1"/>
  <c r="I344" i="3" l="1"/>
  <c r="P345" i="3"/>
  <c r="Q345" i="3" s="1"/>
  <c r="R345" i="3" s="1"/>
  <c r="J350" i="2"/>
  <c r="G351" i="2"/>
  <c r="H351" i="2" s="1"/>
  <c r="F352" i="2" s="1"/>
  <c r="I345" i="3" l="1"/>
  <c r="P346" i="3"/>
  <c r="Q346" i="3" s="1"/>
  <c r="R346" i="3" s="1"/>
  <c r="J351" i="2"/>
  <c r="G352" i="2"/>
  <c r="H352" i="2" s="1"/>
  <c r="F353" i="2" s="1"/>
  <c r="I346" i="3" l="1"/>
  <c r="P347" i="3"/>
  <c r="Q347" i="3" s="1"/>
  <c r="R347" i="3" s="1"/>
  <c r="J352" i="2"/>
  <c r="G353" i="2"/>
  <c r="H353" i="2" s="1"/>
  <c r="F354" i="2" s="1"/>
  <c r="I347" i="3" l="1"/>
  <c r="P348" i="3"/>
  <c r="Q348" i="3" s="1"/>
  <c r="R348" i="3" s="1"/>
  <c r="J353" i="2"/>
  <c r="G354" i="2"/>
  <c r="H354" i="2" s="1"/>
  <c r="F355" i="2" s="1"/>
  <c r="I348" i="3" l="1"/>
  <c r="P349" i="3"/>
  <c r="Q349" i="3" s="1"/>
  <c r="R349" i="3" s="1"/>
  <c r="J354" i="2"/>
  <c r="G355" i="2"/>
  <c r="H355" i="2" s="1"/>
  <c r="F356" i="2" s="1"/>
  <c r="I349" i="3" l="1"/>
  <c r="P350" i="3"/>
  <c r="Q350" i="3" s="1"/>
  <c r="R350" i="3" s="1"/>
  <c r="J355" i="2"/>
  <c r="G356" i="2"/>
  <c r="H356" i="2" s="1"/>
  <c r="F357" i="2" s="1"/>
  <c r="I350" i="3" l="1"/>
  <c r="P351" i="3"/>
  <c r="Q351" i="3" s="1"/>
  <c r="R351" i="3" s="1"/>
  <c r="J356" i="2"/>
  <c r="G357" i="2"/>
  <c r="H357" i="2" s="1"/>
  <c r="F358" i="2" s="1"/>
  <c r="I351" i="3" l="1"/>
  <c r="P352" i="3"/>
  <c r="Q352" i="3" s="1"/>
  <c r="R352" i="3" s="1"/>
  <c r="J357" i="2"/>
  <c r="G358" i="2"/>
  <c r="H358" i="2" s="1"/>
  <c r="F359" i="2" s="1"/>
  <c r="I352" i="3" l="1"/>
  <c r="P353" i="3"/>
  <c r="Q353" i="3" s="1"/>
  <c r="R353" i="3" s="1"/>
  <c r="J358" i="2"/>
  <c r="G359" i="2"/>
  <c r="H359" i="2" s="1"/>
  <c r="F360" i="2" s="1"/>
  <c r="I353" i="3" l="1"/>
  <c r="P354" i="3"/>
  <c r="Q354" i="3" s="1"/>
  <c r="R354" i="3" s="1"/>
  <c r="J359" i="2"/>
  <c r="G360" i="2"/>
  <c r="H360" i="2" s="1"/>
  <c r="F361" i="2" s="1"/>
  <c r="I354" i="3" l="1"/>
  <c r="P355" i="3"/>
  <c r="Q355" i="3" s="1"/>
  <c r="R355" i="3" s="1"/>
  <c r="J360" i="2"/>
  <c r="G361" i="2"/>
  <c r="H361" i="2" s="1"/>
  <c r="F362" i="2" s="1"/>
  <c r="I355" i="3" l="1"/>
  <c r="P356" i="3"/>
  <c r="Q356" i="3" s="1"/>
  <c r="R356" i="3" s="1"/>
  <c r="J361" i="2"/>
  <c r="G362" i="2"/>
  <c r="H362" i="2" s="1"/>
  <c r="F363" i="2" s="1"/>
  <c r="I356" i="3" l="1"/>
  <c r="P357" i="3"/>
  <c r="Q357" i="3" s="1"/>
  <c r="R357" i="3" s="1"/>
  <c r="J362" i="2"/>
  <c r="G363" i="2"/>
  <c r="H363" i="2" s="1"/>
  <c r="F364" i="2" s="1"/>
  <c r="I357" i="3" l="1"/>
  <c r="P358" i="3"/>
  <c r="Q358" i="3" s="1"/>
  <c r="R358" i="3" s="1"/>
  <c r="J363" i="2"/>
  <c r="G364" i="2"/>
  <c r="H364" i="2" s="1"/>
  <c r="F365" i="2" s="1"/>
  <c r="I358" i="3" l="1"/>
  <c r="P359" i="3"/>
  <c r="Q359" i="3" s="1"/>
  <c r="R359" i="3" s="1"/>
  <c r="J364" i="2"/>
  <c r="G365" i="2"/>
  <c r="H365" i="2" s="1"/>
  <c r="F366" i="2" s="1"/>
  <c r="I359" i="3" l="1"/>
  <c r="P360" i="3"/>
  <c r="Q360" i="3" s="1"/>
  <c r="R360" i="3" s="1"/>
  <c r="J365" i="2"/>
  <c r="G366" i="2"/>
  <c r="H366" i="2" s="1"/>
  <c r="F367" i="2" s="1"/>
  <c r="I360" i="3" l="1"/>
  <c r="P361" i="3"/>
  <c r="Q361" i="3" s="1"/>
  <c r="R361" i="3" s="1"/>
  <c r="J366" i="2"/>
  <c r="G367" i="2"/>
  <c r="H367" i="2" s="1"/>
  <c r="F368" i="2" s="1"/>
  <c r="I361" i="3" l="1"/>
  <c r="P362" i="3"/>
  <c r="Q362" i="3" s="1"/>
  <c r="R362" i="3" s="1"/>
  <c r="J367" i="2"/>
  <c r="G368" i="2"/>
  <c r="H368" i="2" s="1"/>
  <c r="F369" i="2" s="1"/>
  <c r="I362" i="3" l="1"/>
  <c r="P363" i="3"/>
  <c r="Q363" i="3" s="1"/>
  <c r="R363" i="3" s="1"/>
  <c r="J368" i="2"/>
  <c r="G369" i="2"/>
  <c r="H369" i="2" s="1"/>
  <c r="F370" i="2" s="1"/>
  <c r="I363" i="3" l="1"/>
  <c r="P364" i="3"/>
  <c r="Q364" i="3" s="1"/>
  <c r="R364" i="3" s="1"/>
  <c r="J369" i="2"/>
  <c r="G370" i="2"/>
  <c r="H370" i="2" s="1"/>
  <c r="F371" i="2" s="1"/>
  <c r="I364" i="3" l="1"/>
  <c r="P365" i="3"/>
  <c r="Q365" i="3" s="1"/>
  <c r="R365" i="3" s="1"/>
  <c r="J370" i="2"/>
  <c r="G371" i="2"/>
  <c r="H371" i="2" s="1"/>
  <c r="F372" i="2" s="1"/>
  <c r="I365" i="3" l="1"/>
  <c r="P366" i="3"/>
  <c r="Q366" i="3" s="1"/>
  <c r="R366" i="3" s="1"/>
  <c r="J371" i="2"/>
  <c r="G372" i="2"/>
  <c r="H372" i="2" s="1"/>
  <c r="F373" i="2" s="1"/>
  <c r="I366" i="3" l="1"/>
  <c r="P367" i="3"/>
  <c r="Q367" i="3" s="1"/>
  <c r="R367" i="3" s="1"/>
  <c r="J372" i="2"/>
  <c r="G373" i="2"/>
  <c r="H373" i="2" s="1"/>
  <c r="F374" i="2" s="1"/>
  <c r="I367" i="3" l="1"/>
  <c r="P368" i="3"/>
  <c r="Q368" i="3" s="1"/>
  <c r="R368" i="3" s="1"/>
  <c r="J373" i="2"/>
  <c r="G374" i="2"/>
  <c r="H374" i="2" s="1"/>
  <c r="F375" i="2" s="1"/>
  <c r="I368" i="3" l="1"/>
  <c r="P369" i="3"/>
  <c r="Q369" i="3" s="1"/>
  <c r="R369" i="3" s="1"/>
  <c r="J374" i="2"/>
  <c r="G375" i="2"/>
  <c r="H375" i="2" s="1"/>
  <c r="F376" i="2" s="1"/>
  <c r="I369" i="3" l="1"/>
  <c r="P370" i="3"/>
  <c r="Q370" i="3" s="1"/>
  <c r="R370" i="3" s="1"/>
  <c r="J375" i="2"/>
  <c r="G376" i="2"/>
  <c r="H376" i="2" s="1"/>
  <c r="F377" i="2" s="1"/>
  <c r="I370" i="3" l="1"/>
  <c r="P371" i="3"/>
  <c r="Q371" i="3" s="1"/>
  <c r="R371" i="3" s="1"/>
  <c r="J376" i="2"/>
  <c r="G377" i="2"/>
  <c r="H377" i="2" s="1"/>
  <c r="F378" i="2" s="1"/>
  <c r="I371" i="3" l="1"/>
  <c r="P372" i="3"/>
  <c r="Q372" i="3" s="1"/>
  <c r="R372" i="3" s="1"/>
  <c r="J377" i="2"/>
  <c r="G378" i="2"/>
  <c r="H378" i="2" s="1"/>
  <c r="F379" i="2" s="1"/>
  <c r="I372" i="3" l="1"/>
  <c r="P373" i="3"/>
  <c r="Q373" i="3" s="1"/>
  <c r="R373" i="3" s="1"/>
  <c r="J378" i="2"/>
  <c r="G379" i="2"/>
  <c r="H379" i="2" s="1"/>
  <c r="F380" i="2" s="1"/>
  <c r="I373" i="3" l="1"/>
  <c r="P374" i="3"/>
  <c r="Q374" i="3" s="1"/>
  <c r="R374" i="3" s="1"/>
  <c r="J379" i="2"/>
  <c r="G380" i="2"/>
  <c r="H380" i="2" s="1"/>
  <c r="F381" i="2" s="1"/>
  <c r="I374" i="3" l="1"/>
  <c r="P375" i="3"/>
  <c r="Q375" i="3" s="1"/>
  <c r="R375" i="3" s="1"/>
  <c r="J380" i="2"/>
  <c r="G381" i="2"/>
  <c r="H381" i="2" s="1"/>
  <c r="F382" i="2" s="1"/>
  <c r="I375" i="3" l="1"/>
  <c r="P376" i="3"/>
  <c r="Q376" i="3" s="1"/>
  <c r="R376" i="3" s="1"/>
  <c r="J381" i="2"/>
  <c r="G382" i="2"/>
  <c r="H382" i="2" s="1"/>
  <c r="F383" i="2" s="1"/>
  <c r="I376" i="3" l="1"/>
  <c r="P377" i="3"/>
  <c r="Q377" i="3" s="1"/>
  <c r="R377" i="3" s="1"/>
  <c r="J382" i="2"/>
  <c r="G383" i="2"/>
  <c r="H383" i="2" s="1"/>
  <c r="F384" i="2" s="1"/>
  <c r="I377" i="3" l="1"/>
  <c r="P378" i="3"/>
  <c r="Q378" i="3" s="1"/>
  <c r="R378" i="3" s="1"/>
  <c r="J383" i="2"/>
  <c r="G384" i="2"/>
  <c r="H384" i="2" s="1"/>
  <c r="F385" i="2" s="1"/>
  <c r="I378" i="3" l="1"/>
  <c r="P379" i="3"/>
  <c r="Q379" i="3" s="1"/>
  <c r="R379" i="3" s="1"/>
  <c r="J384" i="2"/>
  <c r="G385" i="2"/>
  <c r="H385" i="2" s="1"/>
  <c r="F386" i="2" s="1"/>
  <c r="I379" i="3" l="1"/>
  <c r="P380" i="3"/>
  <c r="Q380" i="3" s="1"/>
  <c r="R380" i="3" s="1"/>
  <c r="J385" i="2"/>
  <c r="G386" i="2"/>
  <c r="H386" i="2" s="1"/>
  <c r="F387" i="2" s="1"/>
  <c r="I380" i="3" l="1"/>
  <c r="P381" i="3"/>
  <c r="Q381" i="3" s="1"/>
  <c r="R381" i="3" s="1"/>
  <c r="J386" i="2"/>
  <c r="G387" i="2"/>
  <c r="H387" i="2" s="1"/>
  <c r="F388" i="2" s="1"/>
  <c r="I381" i="3" l="1"/>
  <c r="P382" i="3"/>
  <c r="Q382" i="3" s="1"/>
  <c r="R382" i="3" s="1"/>
  <c r="J387" i="2"/>
  <c r="G388" i="2"/>
  <c r="H388" i="2" s="1"/>
  <c r="F389" i="2" s="1"/>
  <c r="I382" i="3" l="1"/>
  <c r="P383" i="3"/>
  <c r="Q383" i="3" s="1"/>
  <c r="R383" i="3" s="1"/>
  <c r="J388" i="2"/>
  <c r="G389" i="2"/>
  <c r="H389" i="2" s="1"/>
  <c r="F390" i="2" s="1"/>
  <c r="I383" i="3" l="1"/>
  <c r="P384" i="3"/>
  <c r="Q384" i="3" s="1"/>
  <c r="R384" i="3" s="1"/>
  <c r="J389" i="2"/>
  <c r="G390" i="2"/>
  <c r="H390" i="2" s="1"/>
  <c r="F391" i="2" s="1"/>
  <c r="I384" i="3" l="1"/>
  <c r="P385" i="3"/>
  <c r="Q385" i="3" s="1"/>
  <c r="R385" i="3" s="1"/>
  <c r="J390" i="2"/>
  <c r="G391" i="2"/>
  <c r="H391" i="2" s="1"/>
  <c r="F392" i="2" s="1"/>
  <c r="I385" i="3" l="1"/>
  <c r="P386" i="3"/>
  <c r="Q386" i="3" s="1"/>
  <c r="R386" i="3" s="1"/>
  <c r="J391" i="2"/>
  <c r="G392" i="2"/>
  <c r="H392" i="2" s="1"/>
  <c r="F393" i="2" s="1"/>
  <c r="I386" i="3" l="1"/>
  <c r="P387" i="3"/>
  <c r="Q387" i="3" s="1"/>
  <c r="R387" i="3" s="1"/>
  <c r="J392" i="2"/>
  <c r="G393" i="2"/>
  <c r="H393" i="2" s="1"/>
  <c r="F394" i="2" s="1"/>
  <c r="I387" i="3" l="1"/>
  <c r="P388" i="3"/>
  <c r="Q388" i="3" s="1"/>
  <c r="R388" i="3" s="1"/>
  <c r="J393" i="2"/>
  <c r="G394" i="2"/>
  <c r="H394" i="2" s="1"/>
  <c r="F395" i="2" s="1"/>
  <c r="I388" i="3" l="1"/>
  <c r="P389" i="3"/>
  <c r="Q389" i="3" s="1"/>
  <c r="R389" i="3" s="1"/>
  <c r="J394" i="2"/>
  <c r="G395" i="2"/>
  <c r="H395" i="2" s="1"/>
  <c r="F396" i="2" s="1"/>
  <c r="I389" i="3" l="1"/>
  <c r="P390" i="3"/>
  <c r="Q390" i="3" s="1"/>
  <c r="R390" i="3" s="1"/>
  <c r="J395" i="2"/>
  <c r="G396" i="2"/>
  <c r="H396" i="2" s="1"/>
  <c r="F397" i="2" s="1"/>
  <c r="I390" i="3" l="1"/>
  <c r="P391" i="3"/>
  <c r="Q391" i="3" s="1"/>
  <c r="R391" i="3" s="1"/>
  <c r="J396" i="2"/>
  <c r="G397" i="2"/>
  <c r="H397" i="2" s="1"/>
  <c r="F398" i="2" s="1"/>
  <c r="I391" i="3" l="1"/>
  <c r="P392" i="3"/>
  <c r="Q392" i="3" s="1"/>
  <c r="R392" i="3" s="1"/>
  <c r="J397" i="2"/>
  <c r="G398" i="2"/>
  <c r="H398" i="2" s="1"/>
  <c r="F399" i="2" s="1"/>
  <c r="I392" i="3" l="1"/>
  <c r="P393" i="3"/>
  <c r="Q393" i="3" s="1"/>
  <c r="R393" i="3" s="1"/>
  <c r="J398" i="2"/>
  <c r="G399" i="2"/>
  <c r="H399" i="2" s="1"/>
  <c r="F400" i="2" s="1"/>
  <c r="I393" i="3" l="1"/>
  <c r="P394" i="3"/>
  <c r="Q394" i="3" s="1"/>
  <c r="R394" i="3" s="1"/>
  <c r="J399" i="2"/>
  <c r="G400" i="2"/>
  <c r="H400" i="2" s="1"/>
  <c r="F401" i="2" s="1"/>
  <c r="I394" i="3" l="1"/>
  <c r="P395" i="3"/>
  <c r="Q395" i="3" s="1"/>
  <c r="R395" i="3" s="1"/>
  <c r="J400" i="2"/>
  <c r="G401" i="2"/>
  <c r="H401" i="2" s="1"/>
  <c r="F402" i="2" s="1"/>
  <c r="I395" i="3" l="1"/>
  <c r="P396" i="3"/>
  <c r="Q396" i="3" s="1"/>
  <c r="R396" i="3" s="1"/>
  <c r="J401" i="2"/>
  <c r="G402" i="2"/>
  <c r="H402" i="2" s="1"/>
  <c r="F403" i="2" s="1"/>
  <c r="I396" i="3" l="1"/>
  <c r="P397" i="3"/>
  <c r="Q397" i="3" s="1"/>
  <c r="R397" i="3" s="1"/>
  <c r="J402" i="2"/>
  <c r="G403" i="2"/>
  <c r="H403" i="2" s="1"/>
  <c r="F404" i="2" s="1"/>
  <c r="I397" i="3" l="1"/>
  <c r="P398" i="3"/>
  <c r="Q398" i="3" s="1"/>
  <c r="R398" i="3" s="1"/>
  <c r="J403" i="2"/>
  <c r="G404" i="2"/>
  <c r="H404" i="2" s="1"/>
  <c r="F405" i="2" s="1"/>
  <c r="I398" i="3" l="1"/>
  <c r="P399" i="3"/>
  <c r="Q399" i="3" s="1"/>
  <c r="R399" i="3" s="1"/>
  <c r="J404" i="2"/>
  <c r="G405" i="2"/>
  <c r="H405" i="2" s="1"/>
  <c r="F406" i="2" s="1"/>
  <c r="I399" i="3" l="1"/>
  <c r="P400" i="3"/>
  <c r="Q400" i="3" s="1"/>
  <c r="R400" i="3" s="1"/>
  <c r="J405" i="2"/>
  <c r="G406" i="2"/>
  <c r="H406" i="2" s="1"/>
  <c r="F407" i="2" s="1"/>
  <c r="I400" i="3" l="1"/>
  <c r="P401" i="3"/>
  <c r="Q401" i="3" s="1"/>
  <c r="R401" i="3" s="1"/>
  <c r="J406" i="2"/>
  <c r="G407" i="2"/>
  <c r="H407" i="2" s="1"/>
  <c r="F408" i="2" s="1"/>
  <c r="I401" i="3" l="1"/>
  <c r="P402" i="3"/>
  <c r="Q402" i="3" s="1"/>
  <c r="R402" i="3" s="1"/>
  <c r="J407" i="2"/>
  <c r="G408" i="2"/>
  <c r="H408" i="2" s="1"/>
  <c r="F409" i="2" s="1"/>
  <c r="I402" i="3" l="1"/>
  <c r="P403" i="3"/>
  <c r="Q403" i="3" s="1"/>
  <c r="R403" i="3" s="1"/>
  <c r="J408" i="2"/>
  <c r="G409" i="2"/>
  <c r="H409" i="2" s="1"/>
  <c r="F410" i="2" s="1"/>
  <c r="I403" i="3" l="1"/>
  <c r="P404" i="3"/>
  <c r="Q404" i="3" s="1"/>
  <c r="R404" i="3" s="1"/>
  <c r="J409" i="2"/>
  <c r="G410" i="2"/>
  <c r="H410" i="2" s="1"/>
  <c r="F411" i="2" s="1"/>
  <c r="I404" i="3" l="1"/>
  <c r="P405" i="3"/>
  <c r="Q405" i="3" s="1"/>
  <c r="R405" i="3" s="1"/>
  <c r="J410" i="2"/>
  <c r="G411" i="2"/>
  <c r="H411" i="2" s="1"/>
  <c r="F412" i="2" s="1"/>
  <c r="I405" i="3" l="1"/>
  <c r="P406" i="3"/>
  <c r="Q406" i="3" s="1"/>
  <c r="R406" i="3" s="1"/>
  <c r="J411" i="2"/>
  <c r="G412" i="2"/>
  <c r="H412" i="2" s="1"/>
  <c r="F413" i="2" s="1"/>
  <c r="I406" i="3" l="1"/>
  <c r="P407" i="3"/>
  <c r="Q407" i="3" s="1"/>
  <c r="R407" i="3" s="1"/>
  <c r="J412" i="2"/>
  <c r="G413" i="2"/>
  <c r="H413" i="2" s="1"/>
  <c r="F414" i="2" s="1"/>
  <c r="I407" i="3" l="1"/>
  <c r="P408" i="3"/>
  <c r="Q408" i="3" s="1"/>
  <c r="R408" i="3" s="1"/>
  <c r="J413" i="2"/>
  <c r="G414" i="2"/>
  <c r="H414" i="2" s="1"/>
  <c r="F415" i="2" s="1"/>
  <c r="I408" i="3" l="1"/>
  <c r="P409" i="3"/>
  <c r="Q409" i="3" s="1"/>
  <c r="R409" i="3" s="1"/>
  <c r="J414" i="2"/>
  <c r="G415" i="2"/>
  <c r="H415" i="2" s="1"/>
  <c r="F416" i="2" s="1"/>
  <c r="I409" i="3" l="1"/>
  <c r="P410" i="3"/>
  <c r="Q410" i="3" s="1"/>
  <c r="R410" i="3" s="1"/>
  <c r="J415" i="2"/>
  <c r="G416" i="2"/>
  <c r="H416" i="2" s="1"/>
  <c r="F417" i="2" s="1"/>
  <c r="I410" i="3" l="1"/>
  <c r="P411" i="3"/>
  <c r="Q411" i="3" s="1"/>
  <c r="R411" i="3" s="1"/>
  <c r="J416" i="2"/>
  <c r="G417" i="2"/>
  <c r="H417" i="2" s="1"/>
  <c r="F418" i="2" s="1"/>
  <c r="I411" i="3" l="1"/>
  <c r="P412" i="3"/>
  <c r="Q412" i="3" s="1"/>
  <c r="R412" i="3" s="1"/>
  <c r="J417" i="2"/>
  <c r="G418" i="2"/>
  <c r="H418" i="2" s="1"/>
  <c r="F419" i="2" s="1"/>
  <c r="I412" i="3" l="1"/>
  <c r="P413" i="3"/>
  <c r="Q413" i="3" s="1"/>
  <c r="R413" i="3" s="1"/>
  <c r="J418" i="2"/>
  <c r="G419" i="2"/>
  <c r="H419" i="2" s="1"/>
  <c r="F420" i="2" s="1"/>
  <c r="I413" i="3" l="1"/>
  <c r="P414" i="3"/>
  <c r="Q414" i="3" s="1"/>
  <c r="R414" i="3" s="1"/>
  <c r="J419" i="2"/>
  <c r="G420" i="2"/>
  <c r="H420" i="2" s="1"/>
  <c r="F421" i="2" s="1"/>
  <c r="I414" i="3" l="1"/>
  <c r="P415" i="3"/>
  <c r="Q415" i="3" s="1"/>
  <c r="R415" i="3" s="1"/>
  <c r="J420" i="2"/>
  <c r="G421" i="2"/>
  <c r="H421" i="2" s="1"/>
  <c r="F422" i="2" s="1"/>
  <c r="I415" i="3" l="1"/>
  <c r="P416" i="3"/>
  <c r="Q416" i="3" s="1"/>
  <c r="R416" i="3" s="1"/>
  <c r="J421" i="2"/>
  <c r="G422" i="2"/>
  <c r="H422" i="2" s="1"/>
  <c r="F423" i="2" s="1"/>
  <c r="I416" i="3" l="1"/>
  <c r="P417" i="3"/>
  <c r="Q417" i="3" s="1"/>
  <c r="R417" i="3" s="1"/>
  <c r="J422" i="2"/>
  <c r="G423" i="2"/>
  <c r="H423" i="2" s="1"/>
  <c r="F424" i="2" s="1"/>
  <c r="I417" i="3" l="1"/>
  <c r="P418" i="3"/>
  <c r="Q418" i="3" s="1"/>
  <c r="R418" i="3" s="1"/>
  <c r="J423" i="2"/>
  <c r="G424" i="2"/>
  <c r="H424" i="2" s="1"/>
  <c r="F425" i="2" s="1"/>
  <c r="I418" i="3" l="1"/>
  <c r="P419" i="3"/>
  <c r="Q419" i="3" s="1"/>
  <c r="R419" i="3" s="1"/>
  <c r="J424" i="2"/>
  <c r="G425" i="2"/>
  <c r="H425" i="2" s="1"/>
  <c r="F426" i="2" s="1"/>
  <c r="I419" i="3" l="1"/>
  <c r="P420" i="3"/>
  <c r="Q420" i="3" s="1"/>
  <c r="R420" i="3" s="1"/>
  <c r="J425" i="2"/>
  <c r="G426" i="2"/>
  <c r="H426" i="2" s="1"/>
  <c r="F427" i="2" s="1"/>
  <c r="I420" i="3" l="1"/>
  <c r="P421" i="3"/>
  <c r="Q421" i="3" s="1"/>
  <c r="R421" i="3" s="1"/>
  <c r="J426" i="2"/>
  <c r="G427" i="2"/>
  <c r="H427" i="2" s="1"/>
  <c r="F428" i="2" s="1"/>
  <c r="I421" i="3" l="1"/>
  <c r="P422" i="3"/>
  <c r="Q422" i="3" s="1"/>
  <c r="R422" i="3" s="1"/>
  <c r="J427" i="2"/>
  <c r="G428" i="2"/>
  <c r="H428" i="2" s="1"/>
  <c r="F429" i="2" s="1"/>
  <c r="I422" i="3" l="1"/>
  <c r="P423" i="3"/>
  <c r="Q423" i="3" s="1"/>
  <c r="R423" i="3" s="1"/>
  <c r="J428" i="2"/>
  <c r="G429" i="2"/>
  <c r="H429" i="2" s="1"/>
  <c r="F430" i="2" s="1"/>
  <c r="I423" i="3" l="1"/>
  <c r="P424" i="3"/>
  <c r="Q424" i="3" s="1"/>
  <c r="R424" i="3" s="1"/>
  <c r="J429" i="2"/>
  <c r="G430" i="2"/>
  <c r="H430" i="2" s="1"/>
  <c r="F431" i="2" s="1"/>
  <c r="I424" i="3" l="1"/>
  <c r="P425" i="3"/>
  <c r="Q425" i="3" s="1"/>
  <c r="R425" i="3" s="1"/>
  <c r="J430" i="2"/>
  <c r="G431" i="2"/>
  <c r="H431" i="2" s="1"/>
  <c r="I425" i="3" l="1"/>
  <c r="P426" i="3"/>
  <c r="Q426" i="3" s="1"/>
  <c r="R426" i="3" s="1"/>
  <c r="J431" i="2"/>
  <c r="I426" i="3" l="1"/>
  <c r="P427" i="3"/>
  <c r="Q427" i="3" s="1"/>
  <c r="R427" i="3" s="1"/>
  <c r="I427" i="3" l="1"/>
  <c r="P428" i="3"/>
  <c r="Q428" i="3" s="1"/>
  <c r="R428" i="3" s="1"/>
  <c r="I428" i="3" l="1"/>
  <c r="P429" i="3"/>
  <c r="Q429" i="3" s="1"/>
  <c r="R429" i="3" s="1"/>
  <c r="I429" i="3" l="1"/>
  <c r="N41" i="1" s="1"/>
  <c r="N4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DELL</author>
  </authors>
  <commentList>
    <comment ref="U26" authorId="0" shapeId="0" xr:uid="{40D51AEB-A284-4A92-8E95-70F5AE29662C}">
      <text>
        <r>
          <rPr>
            <b/>
            <sz val="9"/>
            <color indexed="81"/>
            <rFont val="Tahoma"/>
            <family val="2"/>
          </rPr>
          <t>DELL:</t>
        </r>
        <r>
          <rPr>
            <sz val="9"/>
            <color indexed="81"/>
            <rFont val="Tahoma"/>
            <family val="2"/>
          </rPr>
          <t xml:space="preserve">
best home property value to go for with this income 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<sst xmlns="http://schemas.openxmlformats.org/spreadsheetml/2006/main" count="124" uniqueCount="109">
  <si>
    <t>Home/Property Value</t>
  </si>
  <si>
    <t>Down Payment</t>
  </si>
  <si>
    <t>Salary After Tax</t>
  </si>
  <si>
    <t>Money at Bank</t>
  </si>
  <si>
    <t>Loan Nominal Rate</t>
  </si>
  <si>
    <t>rent per month</t>
  </si>
  <si>
    <t>Avg monthly expense</t>
  </si>
  <si>
    <t>Enter Values</t>
  </si>
  <si>
    <t>Payment frequency</t>
  </si>
  <si>
    <t>Auxilliary</t>
  </si>
  <si>
    <t>salary increase p.a</t>
  </si>
  <si>
    <t>rent increase p.a</t>
  </si>
  <si>
    <t>property tax p.a</t>
  </si>
  <si>
    <t>cpi</t>
  </si>
  <si>
    <t xml:space="preserve">interest p.a </t>
  </si>
  <si>
    <t>Mortgage Loan</t>
  </si>
  <si>
    <t>scheduled payment</t>
  </si>
  <si>
    <t>scheduled payments</t>
  </si>
  <si>
    <t>scheduled number of payments</t>
  </si>
  <si>
    <t xml:space="preserve">total interest </t>
  </si>
  <si>
    <t>monthly expense before mortgage</t>
  </si>
  <si>
    <t>cost of mortgage</t>
  </si>
  <si>
    <t>monthly expense before mortage</t>
  </si>
  <si>
    <t>monthly expense after mortgage</t>
  </si>
  <si>
    <t>cost of  mortgage</t>
  </si>
  <si>
    <t>monthly</t>
  </si>
  <si>
    <t>Loan Term (Yrs)</t>
  </si>
  <si>
    <t>TAB A</t>
  </si>
  <si>
    <t>minimum down payment</t>
  </si>
  <si>
    <t>First-Line Scenario</t>
  </si>
  <si>
    <t>Suggesstion box</t>
  </si>
  <si>
    <t>Quick View</t>
  </si>
  <si>
    <t>TAB B</t>
  </si>
  <si>
    <t>TAB C</t>
  </si>
  <si>
    <t>home insurance p.a</t>
  </si>
  <si>
    <t>Total Cost of Property</t>
  </si>
  <si>
    <t>PMT #</t>
  </si>
  <si>
    <t>PMT DATE</t>
  </si>
  <si>
    <t>SCHEDULE PAYMENT</t>
  </si>
  <si>
    <t>PRINCIPAL REPAID</t>
  </si>
  <si>
    <t>INTEREST PAID</t>
  </si>
  <si>
    <t>OUTSTANDING BALANCE</t>
  </si>
  <si>
    <t>CUMMULATIVE INTEREST</t>
  </si>
  <si>
    <t>PAYMENT SCHEDULE</t>
  </si>
  <si>
    <t>SALARY</t>
  </si>
  <si>
    <t>EXPENSE</t>
  </si>
  <si>
    <t>YEAR</t>
  </si>
  <si>
    <t>SALARY - EXPENSE</t>
  </si>
  <si>
    <t>Mortgage Details</t>
  </si>
  <si>
    <t>Mortgage Amount</t>
  </si>
  <si>
    <t>Mortgage Term</t>
  </si>
  <si>
    <t>Origination Fee</t>
  </si>
  <si>
    <t>Lender's credit</t>
  </si>
  <si>
    <t>Nominal rate</t>
  </si>
  <si>
    <t>int protection period(months)</t>
  </si>
  <si>
    <t>closing cost</t>
  </si>
  <si>
    <t>schedule payment</t>
  </si>
  <si>
    <t>total interest</t>
  </si>
  <si>
    <t>total cost of mortgage</t>
  </si>
  <si>
    <t>Comment:</t>
  </si>
  <si>
    <t xml:space="preserve">Option I </t>
  </si>
  <si>
    <t>Option II</t>
  </si>
  <si>
    <t>MORTGAGE CALCULATOR</t>
  </si>
  <si>
    <t>Welcome to the Mortgage Calculator Model!</t>
  </si>
  <si>
    <t>This model is designed to help you evaluate mortgage options based on various financial inputs and assumptions.</t>
  </si>
  <si>
    <t xml:space="preserve"> Follow the instructions below to input your data and interpret the results.</t>
  </si>
  <si>
    <t>How to Use</t>
  </si>
  <si>
    <t>* Loan Interest Rate</t>
  </si>
  <si>
    <t>* Home Property Value</t>
  </si>
  <si>
    <t xml:space="preserve">* Down Payment </t>
  </si>
  <si>
    <t>* Average Monthly Expenses</t>
  </si>
  <si>
    <t xml:space="preserve">* Salary After Tax </t>
  </si>
  <si>
    <t xml:space="preserve">* Loan Term (in years) </t>
  </si>
  <si>
    <t xml:space="preserve">* Rent Per Month </t>
  </si>
  <si>
    <t>* Money at Bank</t>
  </si>
  <si>
    <t xml:space="preserve">* Mortgage Loan Amount </t>
  </si>
  <si>
    <t>* Scheduled number of payments</t>
  </si>
  <si>
    <t>* Scheduled payment</t>
  </si>
  <si>
    <t>* Total interest</t>
  </si>
  <si>
    <t>* monthly expense before mortgage</t>
  </si>
  <si>
    <t>* monthly expense after mortgage</t>
  </si>
  <si>
    <t>* cost of mortgage</t>
  </si>
  <si>
    <t>* Total Cost of Property</t>
  </si>
  <si>
    <t>Recommendation</t>
  </si>
  <si>
    <t xml:space="preserve">*  "Payment Schedule" tab: Detailed monthly payment breakdown (principal and interest). </t>
  </si>
  <si>
    <t>3. Explore additional analysis:</t>
  </si>
  <si>
    <t>* "Mortgage_INT Comparison" tab: Evaluate mortgage options under different interest rate scenarios.</t>
  </si>
  <si>
    <r>
      <t>1. Go to the</t>
    </r>
    <r>
      <rPr>
        <i/>
        <sz val="11"/>
        <rFont val="Candara"/>
        <family val="2"/>
      </rPr>
      <t xml:space="preserve"> Input section </t>
    </r>
    <r>
      <rPr>
        <sz val="11"/>
        <rFont val="Candara"/>
        <family val="2"/>
      </rPr>
      <t xml:space="preserve">in the "Mortgage Calculator" tab and fill in the required details: </t>
    </r>
  </si>
  <si>
    <r>
      <t xml:space="preserve">2. Review the </t>
    </r>
    <r>
      <rPr>
        <i/>
        <sz val="11"/>
        <color theme="1"/>
        <rFont val="Candara"/>
        <family val="2"/>
      </rPr>
      <t>results</t>
    </r>
    <r>
      <rPr>
        <sz val="11"/>
        <color theme="1"/>
        <rFont val="Candara"/>
        <family val="2"/>
      </rPr>
      <t xml:space="preserve"> in  "Mortgage Calculator" tab for: </t>
    </r>
  </si>
  <si>
    <t xml:space="preserve">4. Adjust assumptions in the "Inputs" tab if needed: </t>
  </si>
  <si>
    <t>* Salary increase per annum</t>
  </si>
  <si>
    <t>* Home Insurance per annum</t>
  </si>
  <si>
    <t>* Property Tax per annum</t>
  </si>
  <si>
    <t>* Rent increase per annum</t>
  </si>
  <si>
    <t>* CPI (inflation)</t>
  </si>
  <si>
    <t>* Closing costs</t>
  </si>
  <si>
    <t>* Interest rate per annum</t>
  </si>
  <si>
    <t>Key Assumptions</t>
  </si>
  <si>
    <r>
      <t xml:space="preserve">Salary increase per annum : Default is </t>
    </r>
    <r>
      <rPr>
        <b/>
        <sz val="11"/>
        <rFont val="Candara"/>
        <family val="2"/>
      </rPr>
      <t>3.00%</t>
    </r>
  </si>
  <si>
    <r>
      <t xml:space="preserve">Home Insurance per annum : Default is </t>
    </r>
    <r>
      <rPr>
        <b/>
        <sz val="11"/>
        <rFont val="Candara"/>
        <family val="2"/>
      </rPr>
      <t>0.40%</t>
    </r>
  </si>
  <si>
    <r>
      <t xml:space="preserve">Rent increase per annum: Default is </t>
    </r>
    <r>
      <rPr>
        <b/>
        <sz val="11"/>
        <rFont val="Candara"/>
        <family val="2"/>
      </rPr>
      <t>2.00%</t>
    </r>
  </si>
  <si>
    <r>
      <t xml:space="preserve">Property Tax per annum: Default is </t>
    </r>
    <r>
      <rPr>
        <b/>
        <sz val="11"/>
        <rFont val="Candara"/>
        <family val="2"/>
      </rPr>
      <t>0.912%</t>
    </r>
  </si>
  <si>
    <r>
      <t xml:space="preserve">Closing costs: Default is </t>
    </r>
    <r>
      <rPr>
        <b/>
        <sz val="11"/>
        <rFont val="Candara"/>
        <family val="2"/>
      </rPr>
      <t>2.00%</t>
    </r>
  </si>
  <si>
    <r>
      <t>Interest rate per annum: Default is</t>
    </r>
    <r>
      <rPr>
        <b/>
        <sz val="11"/>
        <rFont val="Candara"/>
        <family val="2"/>
      </rPr>
      <t xml:space="preserve"> 4.00%</t>
    </r>
  </si>
  <si>
    <r>
      <t xml:space="preserve">CPI (inflation): Default is </t>
    </r>
    <r>
      <rPr>
        <b/>
        <sz val="11"/>
        <rFont val="Candara"/>
        <family val="2"/>
      </rPr>
      <t>1.90%</t>
    </r>
  </si>
  <si>
    <t xml:space="preserve"> - USE CLICK BUTTON TO TOGGLE BETWEEN SHEETS</t>
  </si>
  <si>
    <t>Disclaimer!</t>
  </si>
  <si>
    <t xml:space="preserve">This model is for educational purposes only and should not be used as a substitute for professional financial advice. </t>
  </si>
  <si>
    <t>Please consult a financial advisor for personalized recommendations.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</si>
</sst>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%"/>
    <numFmt numFmtId="165" formatCode="0.000%"/>
  </numFmts>
  <fonts count="2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Candara"/>
      <family val="2"/>
    </font>
    <font>
      <sz val="18"/>
      <color theme="1"/>
      <name val="Candara"/>
      <family val="2"/>
    </font>
    <font>
      <sz val="20"/>
      <color theme="1"/>
      <name val="Candara"/>
      <family val="2"/>
    </font>
    <font>
      <b/>
      <sz val="10"/>
      <color theme="0"/>
      <name val="Candara"/>
      <family val="2"/>
    </font>
    <font>
      <sz val="9"/>
      <color theme="1"/>
      <name val="Candara"/>
      <family val="2"/>
    </font>
    <font>
      <b/>
      <sz val="11"/>
      <color theme="0"/>
      <name val="Candara"/>
      <family val="2"/>
    </font>
    <font>
      <b/>
      <sz val="11"/>
      <name val="Candara"/>
      <family val="2"/>
    </font>
    <font>
      <b/>
      <sz val="10"/>
      <color theme="1"/>
      <name val="Candara"/>
      <family val="2"/>
    </font>
    <font>
      <b/>
      <sz val="11"/>
      <color theme="1"/>
      <name val="Candara"/>
      <family val="2"/>
    </font>
    <font>
      <b/>
      <sz val="11"/>
      <color theme="5" tint="-0.499984740745262"/>
      <name val="Candara"/>
      <family val="2"/>
    </font>
    <font>
      <b/>
      <sz val="14"/>
      <color theme="1"/>
      <name val="Candara"/>
      <family val="2"/>
    </font>
    <font>
      <b/>
      <sz val="14"/>
      <color theme="5" tint="-0.499984740745262"/>
      <name val="Candara"/>
      <family val="2"/>
    </font>
    <font>
      <b/>
      <sz val="22"/>
      <color theme="0"/>
      <name val="Candara"/>
      <family val="2"/>
    </font>
    <font>
      <b/>
      <sz val="28"/>
      <color rgb="FF7030A0"/>
      <name val="Candara"/>
      <family val="2"/>
    </font>
    <font>
      <b/>
      <sz val="12"/>
      <color theme="1"/>
      <name val="Candara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6"/>
      <color theme="6"/>
      <name val="Candara"/>
      <family val="2"/>
    </font>
    <font>
      <sz val="11"/>
      <color rgb="FF000000"/>
      <name val="Aptos Narrow"/>
      <family val="2"/>
    </font>
    <font>
      <sz val="11"/>
      <name val="Candara"/>
      <family val="2"/>
    </font>
    <font>
      <b/>
      <sz val="14"/>
      <name val="Candara"/>
      <family val="2"/>
    </font>
    <font>
      <b/>
      <sz val="16"/>
      <name val="Candara"/>
      <family val="2"/>
    </font>
    <font>
      <i/>
      <sz val="11"/>
      <name val="Candara"/>
      <family val="2"/>
    </font>
    <font>
      <i/>
      <sz val="11"/>
      <color theme="1"/>
      <name val="Candara"/>
      <family val="2"/>
    </font>
    <font>
      <b/>
      <i/>
      <sz val="11"/>
      <name val="Candara"/>
      <family val="2"/>
    </font>
  </fonts>
  <fills count="13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604F"/>
        <bgColor indexed="64"/>
      </patternFill>
    </fill>
    <fill>
      <patternFill patternType="solid">
        <fgColor theme="3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7" tint="0.59999389629810485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33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2" fillId="2" borderId="0" xfId="0" applyFont="1" applyFill="1"/>
    <xf numFmtId="0" fontId="2" fillId="3" borderId="0" xfId="0" applyFont="1" applyFill="1" applyAlignment="1">
      <alignment horizontal="center" vertical="center" wrapText="1"/>
    </xf>
    <xf numFmtId="0" fontId="2" fillId="3" borderId="0" xfId="0" applyFont="1" applyFill="1"/>
    <xf numFmtId="0" fontId="2" fillId="3" borderId="1" xfId="0" applyFont="1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2" fillId="4" borderId="0" xfId="0" applyFont="1" applyFill="1"/>
    <xf numFmtId="0" fontId="6" fillId="4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 wrapText="1"/>
    </xf>
    <xf numFmtId="0" fontId="8" fillId="4" borderId="0" xfId="0" applyFont="1" applyFill="1" applyAlignment="1">
      <alignment vertical="center"/>
    </xf>
    <xf numFmtId="0" fontId="2" fillId="0" borderId="3" xfId="0" applyFont="1" applyBorder="1"/>
    <xf numFmtId="0" fontId="2" fillId="5" borderId="0" xfId="0" applyFont="1" applyFill="1"/>
    <xf numFmtId="0" fontId="3" fillId="5" borderId="3" xfId="0" applyFont="1" applyFill="1" applyBorder="1"/>
    <xf numFmtId="0" fontId="2" fillId="5" borderId="3" xfId="0" applyFont="1" applyFill="1" applyBorder="1"/>
    <xf numFmtId="0" fontId="2" fillId="5" borderId="5" xfId="0" applyFont="1" applyFill="1" applyBorder="1"/>
    <xf numFmtId="0" fontId="2" fillId="5" borderId="7" xfId="0" applyFont="1" applyFill="1" applyBorder="1"/>
    <xf numFmtId="0" fontId="2" fillId="5" borderId="9" xfId="0" applyFont="1" applyFill="1" applyBorder="1"/>
    <xf numFmtId="0" fontId="2" fillId="5" borderId="8" xfId="0" applyFont="1" applyFill="1" applyBorder="1"/>
    <xf numFmtId="0" fontId="2" fillId="5" borderId="2" xfId="0" applyFont="1" applyFill="1" applyBorder="1"/>
    <xf numFmtId="0" fontId="2" fillId="6" borderId="0" xfId="0" applyFont="1" applyFill="1"/>
    <xf numFmtId="0" fontId="3" fillId="6" borderId="3" xfId="0" applyFont="1" applyFill="1" applyBorder="1"/>
    <xf numFmtId="0" fontId="2" fillId="6" borderId="3" xfId="0" applyFont="1" applyFill="1" applyBorder="1"/>
    <xf numFmtId="0" fontId="2" fillId="6" borderId="5" xfId="0" applyFont="1" applyFill="1" applyBorder="1"/>
    <xf numFmtId="0" fontId="2" fillId="6" borderId="7" xfId="0" applyFont="1" applyFill="1" applyBorder="1"/>
    <xf numFmtId="0" fontId="2" fillId="5" borderId="5" xfId="0" applyFont="1" applyFill="1" applyBorder="1" applyAlignment="1">
      <alignment horizontal="centerContinuous" vertical="center"/>
    </xf>
    <xf numFmtId="0" fontId="2" fillId="5" borderId="5" xfId="0" applyFont="1" applyFill="1" applyBorder="1" applyAlignment="1">
      <alignment horizontal="centerContinuous"/>
    </xf>
    <xf numFmtId="0" fontId="2" fillId="5" borderId="6" xfId="0" applyFont="1" applyFill="1" applyBorder="1" applyAlignment="1">
      <alignment horizontal="centerContinuous"/>
    </xf>
    <xf numFmtId="0" fontId="2" fillId="5" borderId="7" xfId="0" applyFont="1" applyFill="1" applyBorder="1" applyAlignment="1">
      <alignment horizontal="centerContinuous" vertical="center"/>
    </xf>
    <xf numFmtId="0" fontId="2" fillId="5" borderId="7" xfId="0" applyFont="1" applyFill="1" applyBorder="1" applyAlignment="1">
      <alignment horizontal="centerContinuous"/>
    </xf>
    <xf numFmtId="0" fontId="2" fillId="5" borderId="10" xfId="0" applyFont="1" applyFill="1" applyBorder="1" applyAlignment="1">
      <alignment horizontal="centerContinuous"/>
    </xf>
    <xf numFmtId="0" fontId="2" fillId="6" borderId="5" xfId="0" applyFont="1" applyFill="1" applyBorder="1" applyAlignment="1">
      <alignment horizontal="centerContinuous"/>
    </xf>
    <xf numFmtId="0" fontId="2" fillId="6" borderId="6" xfId="0" applyFont="1" applyFill="1" applyBorder="1" applyAlignment="1">
      <alignment horizontal="centerContinuous"/>
    </xf>
    <xf numFmtId="0" fontId="2" fillId="6" borderId="7" xfId="0" applyFont="1" applyFill="1" applyBorder="1" applyAlignment="1">
      <alignment horizontal="centerContinuous"/>
    </xf>
    <xf numFmtId="0" fontId="2" fillId="6" borderId="10" xfId="0" applyFont="1" applyFill="1" applyBorder="1" applyAlignment="1">
      <alignment horizontal="centerContinuous"/>
    </xf>
    <xf numFmtId="0" fontId="2" fillId="6" borderId="11" xfId="0" applyFont="1" applyFill="1" applyBorder="1" applyAlignment="1">
      <alignment horizontal="centerContinuous"/>
    </xf>
    <xf numFmtId="0" fontId="2" fillId="6" borderId="12" xfId="0" applyFont="1" applyFill="1" applyBorder="1" applyAlignment="1">
      <alignment horizontal="centerContinuous"/>
    </xf>
    <xf numFmtId="0" fontId="2" fillId="0" borderId="14" xfId="0" applyFont="1" applyBorder="1"/>
    <xf numFmtId="0" fontId="2" fillId="0" borderId="15" xfId="0" applyFont="1" applyBorder="1"/>
    <xf numFmtId="0" fontId="2" fillId="0" borderId="17" xfId="0" applyFont="1" applyBorder="1"/>
    <xf numFmtId="0" fontId="2" fillId="0" borderId="18" xfId="0" applyFont="1" applyBorder="1"/>
    <xf numFmtId="0" fontId="2" fillId="0" borderId="19" xfId="0" applyFont="1" applyBorder="1"/>
    <xf numFmtId="0" fontId="9" fillId="5" borderId="0" xfId="0" applyFont="1" applyFill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44" fontId="2" fillId="3" borderId="1" xfId="2" applyFont="1" applyFill="1" applyBorder="1" applyAlignment="1">
      <alignment horizontal="center" vertical="center"/>
    </xf>
    <xf numFmtId="9" fontId="2" fillId="3" borderId="1" xfId="3" applyFont="1" applyFill="1" applyBorder="1" applyAlignment="1">
      <alignment horizontal="center" vertical="center"/>
    </xf>
    <xf numFmtId="165" fontId="2" fillId="3" borderId="1" xfId="3" applyNumberFormat="1" applyFont="1" applyFill="1" applyBorder="1" applyAlignment="1">
      <alignment horizontal="center" vertical="center"/>
    </xf>
    <xf numFmtId="9" fontId="2" fillId="4" borderId="1" xfId="3" applyFont="1" applyFill="1" applyBorder="1" applyAlignment="1">
      <alignment horizontal="center" vertical="center"/>
    </xf>
    <xf numFmtId="10" fontId="2" fillId="4" borderId="1" xfId="0" applyNumberFormat="1" applyFont="1" applyFill="1" applyBorder="1" applyAlignment="1">
      <alignment horizontal="center" vertical="center"/>
    </xf>
    <xf numFmtId="9" fontId="2" fillId="4" borderId="1" xfId="0" applyNumberFormat="1" applyFont="1" applyFill="1" applyBorder="1" applyAlignment="1">
      <alignment horizontal="center" vertical="center"/>
    </xf>
    <xf numFmtId="165" fontId="2" fillId="4" borderId="1" xfId="0" applyNumberFormat="1" applyFont="1" applyFill="1" applyBorder="1" applyAlignment="1">
      <alignment horizontal="center" vertical="center"/>
    </xf>
    <xf numFmtId="44" fontId="2" fillId="0" borderId="0" xfId="0" applyNumberFormat="1" applyFont="1"/>
    <xf numFmtId="44" fontId="11" fillId="5" borderId="5" xfId="2" applyFont="1" applyFill="1" applyBorder="1" applyAlignment="1">
      <alignment horizontal="center" vertical="center"/>
    </xf>
    <xf numFmtId="44" fontId="11" fillId="5" borderId="7" xfId="2" applyFont="1" applyFill="1" applyBorder="1" applyAlignment="1">
      <alignment horizontal="center" vertical="center"/>
    </xf>
    <xf numFmtId="0" fontId="11" fillId="5" borderId="9" xfId="0" applyFont="1" applyFill="1" applyBorder="1" applyAlignment="1">
      <alignment horizontal="center" vertical="center"/>
    </xf>
    <xf numFmtId="44" fontId="11" fillId="5" borderId="7" xfId="0" applyNumberFormat="1" applyFont="1" applyFill="1" applyBorder="1" applyAlignment="1">
      <alignment horizontal="center" vertical="center"/>
    </xf>
    <xf numFmtId="44" fontId="11" fillId="5" borderId="8" xfId="0" applyNumberFormat="1" applyFont="1" applyFill="1" applyBorder="1" applyAlignment="1">
      <alignment horizontal="center" vertical="center"/>
    </xf>
    <xf numFmtId="0" fontId="2" fillId="6" borderId="5" xfId="0" applyFont="1" applyFill="1" applyBorder="1" applyAlignment="1">
      <alignment horizontal="centerContinuous" vertical="center"/>
    </xf>
    <xf numFmtId="0" fontId="2" fillId="6" borderId="7" xfId="0" applyFont="1" applyFill="1" applyBorder="1" applyAlignment="1">
      <alignment horizontal="centerContinuous" vertical="center"/>
    </xf>
    <xf numFmtId="0" fontId="2" fillId="6" borderId="11" xfId="0" applyFont="1" applyFill="1" applyBorder="1" applyAlignment="1">
      <alignment horizontal="centerContinuous" vertical="center"/>
    </xf>
    <xf numFmtId="0" fontId="2" fillId="6" borderId="20" xfId="0" applyFont="1" applyFill="1" applyBorder="1"/>
    <xf numFmtId="0" fontId="13" fillId="0" borderId="0" xfId="0" applyFont="1"/>
    <xf numFmtId="44" fontId="11" fillId="6" borderId="5" xfId="2" applyFont="1" applyFill="1" applyBorder="1" applyAlignment="1">
      <alignment vertical="center"/>
    </xf>
    <xf numFmtId="44" fontId="11" fillId="6" borderId="7" xfId="0" applyNumberFormat="1" applyFont="1" applyFill="1" applyBorder="1" applyAlignment="1">
      <alignment horizontal="center" vertical="center"/>
    </xf>
    <xf numFmtId="44" fontId="11" fillId="6" borderId="7" xfId="2" applyFont="1" applyFill="1" applyBorder="1" applyAlignment="1">
      <alignment horizontal="center" vertical="center"/>
    </xf>
    <xf numFmtId="43" fontId="11" fillId="6" borderId="7" xfId="1" applyFont="1" applyFill="1" applyBorder="1" applyAlignment="1">
      <alignment vertical="center"/>
    </xf>
    <xf numFmtId="0" fontId="14" fillId="2" borderId="0" xfId="0" applyFont="1" applyFill="1" applyAlignment="1">
      <alignment horizontal="left" vertical="center"/>
    </xf>
    <xf numFmtId="44" fontId="11" fillId="6" borderId="7" xfId="0" applyNumberFormat="1" applyFont="1" applyFill="1" applyBorder="1" applyAlignment="1">
      <alignment vertical="center"/>
    </xf>
    <xf numFmtId="43" fontId="2" fillId="0" borderId="0" xfId="1" applyFont="1"/>
    <xf numFmtId="44" fontId="2" fillId="0" borderId="0" xfId="2" applyFont="1"/>
    <xf numFmtId="14" fontId="2" fillId="0" borderId="0" xfId="0" applyNumberFormat="1" applyFont="1"/>
    <xf numFmtId="0" fontId="15" fillId="0" borderId="0" xfId="0" applyFont="1"/>
    <xf numFmtId="0" fontId="2" fillId="8" borderId="0" xfId="0" applyFont="1" applyFill="1"/>
    <xf numFmtId="0" fontId="2" fillId="8" borderId="0" xfId="0" applyFont="1" applyFill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26" xfId="0" applyFont="1" applyBorder="1" applyAlignment="1">
      <alignment horizontal="center" vertical="center"/>
    </xf>
    <xf numFmtId="43" fontId="2" fillId="0" borderId="4" xfId="1" applyFont="1" applyFill="1" applyBorder="1" applyAlignment="1">
      <alignment horizontal="center" vertical="center"/>
    </xf>
    <xf numFmtId="43" fontId="2" fillId="0" borderId="26" xfId="1" applyFont="1" applyFill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44" fontId="2" fillId="0" borderId="2" xfId="2" applyFont="1" applyFill="1" applyBorder="1" applyAlignment="1">
      <alignment horizontal="center" vertical="center"/>
    </xf>
    <xf numFmtId="44" fontId="2" fillId="0" borderId="27" xfId="2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44" fontId="2" fillId="0" borderId="33" xfId="2" applyFont="1" applyFill="1" applyBorder="1" applyAlignment="1">
      <alignment horizontal="center" vertical="center"/>
    </xf>
    <xf numFmtId="44" fontId="2" fillId="0" borderId="28" xfId="2" applyFont="1" applyFill="1" applyBorder="1" applyAlignment="1">
      <alignment horizontal="center" vertical="center"/>
    </xf>
    <xf numFmtId="44" fontId="2" fillId="0" borderId="29" xfId="2" applyFont="1" applyFill="1" applyBorder="1" applyAlignment="1">
      <alignment horizontal="center" vertical="center"/>
    </xf>
    <xf numFmtId="44" fontId="2" fillId="0" borderId="30" xfId="2" applyFont="1" applyFill="1" applyBorder="1" applyAlignment="1">
      <alignment horizontal="center" vertical="center"/>
    </xf>
    <xf numFmtId="44" fontId="2" fillId="0" borderId="31" xfId="2" applyFont="1" applyFill="1" applyBorder="1" applyAlignment="1">
      <alignment horizontal="center" vertical="center"/>
    </xf>
    <xf numFmtId="0" fontId="10" fillId="0" borderId="21" xfId="0" applyFont="1" applyBorder="1" applyAlignment="1">
      <alignment horizontal="center" vertical="center"/>
    </xf>
    <xf numFmtId="0" fontId="10" fillId="0" borderId="25" xfId="0" applyFont="1" applyBorder="1" applyAlignment="1">
      <alignment horizontal="center" vertical="center"/>
    </xf>
    <xf numFmtId="0" fontId="10" fillId="0" borderId="32" xfId="0" applyFont="1" applyBorder="1" applyAlignment="1">
      <alignment horizontal="center" vertical="center" wrapText="1"/>
    </xf>
    <xf numFmtId="0" fontId="10" fillId="0" borderId="25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0" fontId="2" fillId="0" borderId="28" xfId="0" applyFont="1" applyBorder="1" applyAlignment="1">
      <alignment horizontal="center" vertical="center"/>
    </xf>
    <xf numFmtId="0" fontId="16" fillId="0" borderId="13" xfId="0" applyFont="1" applyBorder="1"/>
    <xf numFmtId="0" fontId="16" fillId="0" borderId="16" xfId="0" applyFont="1" applyBorder="1"/>
    <xf numFmtId="8" fontId="11" fillId="6" borderId="7" xfId="0" applyNumberFormat="1" applyFont="1" applyFill="1" applyBorder="1" applyAlignment="1">
      <alignment horizontal="center" vertical="center"/>
    </xf>
    <xf numFmtId="44" fontId="2" fillId="0" borderId="34" xfId="2" applyFont="1" applyFill="1" applyBorder="1" applyAlignment="1">
      <alignment horizontal="center" vertical="center"/>
    </xf>
    <xf numFmtId="44" fontId="2" fillId="0" borderId="35" xfId="2" applyFont="1" applyFill="1" applyBorder="1" applyAlignment="1">
      <alignment horizontal="center" vertical="center"/>
    </xf>
    <xf numFmtId="44" fontId="2" fillId="0" borderId="36" xfId="2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43" fontId="2" fillId="0" borderId="0" xfId="1" applyFont="1" applyFill="1" applyBorder="1" applyAlignment="1">
      <alignment horizontal="center" vertical="center"/>
    </xf>
    <xf numFmtId="44" fontId="2" fillId="0" borderId="0" xfId="2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9" borderId="0" xfId="0" applyFont="1" applyFill="1" applyAlignment="1">
      <alignment horizontal="center" vertical="center"/>
    </xf>
    <xf numFmtId="44" fontId="2" fillId="10" borderId="0" xfId="0" applyNumberFormat="1" applyFont="1" applyFill="1" applyAlignment="1">
      <alignment horizontal="center" vertical="center"/>
    </xf>
    <xf numFmtId="0" fontId="2" fillId="10" borderId="0" xfId="0" applyFont="1" applyFill="1" applyAlignment="1">
      <alignment horizontal="center" vertical="center"/>
    </xf>
    <xf numFmtId="165" fontId="2" fillId="10" borderId="0" xfId="3" applyNumberFormat="1" applyFont="1" applyFill="1" applyAlignment="1">
      <alignment horizontal="center" vertical="center"/>
    </xf>
    <xf numFmtId="164" fontId="2" fillId="10" borderId="0" xfId="3" applyNumberFormat="1" applyFont="1" applyFill="1" applyAlignment="1">
      <alignment horizontal="center" vertical="center"/>
    </xf>
    <xf numFmtId="0" fontId="7" fillId="11" borderId="0" xfId="0" applyFont="1" applyFill="1" applyAlignment="1">
      <alignment horizontal="center" vertical="center"/>
    </xf>
    <xf numFmtId="44" fontId="7" fillId="11" borderId="0" xfId="0" applyNumberFormat="1" applyFont="1" applyFill="1" applyAlignment="1">
      <alignment horizontal="center" vertical="center"/>
    </xf>
    <xf numFmtId="0" fontId="2" fillId="0" borderId="13" xfId="0" applyFont="1" applyBorder="1" applyAlignment="1">
      <alignment vertical="center"/>
    </xf>
    <xf numFmtId="0" fontId="2" fillId="0" borderId="14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12" fillId="0" borderId="0" xfId="0" applyFont="1" applyAlignment="1">
      <alignment horizontal="left"/>
    </xf>
    <xf numFmtId="0" fontId="10" fillId="0" borderId="18" xfId="0" applyFont="1" applyBorder="1" applyAlignment="1">
      <alignment horizontal="left" vertical="center"/>
    </xf>
    <xf numFmtId="8" fontId="16" fillId="0" borderId="15" xfId="0" applyNumberFormat="1" applyFont="1" applyBorder="1" applyAlignment="1">
      <alignment horizontal="left" vertical="center"/>
    </xf>
    <xf numFmtId="8" fontId="2" fillId="0" borderId="16" xfId="0" applyNumberFormat="1" applyFont="1" applyBorder="1" applyAlignment="1">
      <alignment vertical="center"/>
    </xf>
    <xf numFmtId="44" fontId="7" fillId="11" borderId="0" xfId="2" applyFont="1" applyFill="1" applyAlignment="1">
      <alignment horizontal="center" vertical="center"/>
    </xf>
    <xf numFmtId="44" fontId="16" fillId="0" borderId="14" xfId="0" applyNumberFormat="1" applyFont="1" applyBorder="1" applyAlignment="1">
      <alignment horizontal="center" vertical="center"/>
    </xf>
    <xf numFmtId="0" fontId="19" fillId="0" borderId="0" xfId="0" applyFont="1"/>
    <xf numFmtId="0" fontId="4" fillId="7" borderId="0" xfId="0" applyFont="1" applyFill="1" applyAlignment="1">
      <alignment horizontal="center"/>
    </xf>
    <xf numFmtId="0" fontId="21" fillId="0" borderId="0" xfId="0" applyFont="1" applyFill="1"/>
    <xf numFmtId="0" fontId="21" fillId="12" borderId="0" xfId="0" applyFont="1" applyFill="1"/>
    <xf numFmtId="0" fontId="22" fillId="0" borderId="0" xfId="0" applyFont="1" applyFill="1"/>
    <xf numFmtId="0" fontId="23" fillId="0" borderId="0" xfId="0" applyFont="1" applyFill="1"/>
    <xf numFmtId="0" fontId="21" fillId="9" borderId="0" xfId="0" applyFont="1" applyFill="1"/>
    <xf numFmtId="0" fontId="21" fillId="0" borderId="0" xfId="0" applyFont="1" applyFill="1" applyAlignment="1">
      <alignment horizontal="left"/>
    </xf>
    <xf numFmtId="0" fontId="21" fillId="0" borderId="0" xfId="0" applyFont="1" applyFill="1" applyAlignment="1">
      <alignment horizontal="left" indent="1"/>
    </xf>
    <xf numFmtId="0" fontId="26" fillId="0" borderId="0" xfId="0" applyFont="1" applyFill="1"/>
  </cellXfs>
  <cellStyles count="4">
    <cellStyle name="Comma" xfId="1" builtinId="3"/>
    <cellStyle name="Currency" xfId="2" builtinId="4"/>
    <cellStyle name="Normal" xfId="0" builtinId="0"/>
    <cellStyle name="Percent" xfId="3" builtinId="5"/>
  </cellStyles>
  <dxfs count="0"/>
  <tableStyles count="0" defaultTableStyle="TableStyleMedium2" defaultPivotStyle="PivotStyleLight16"/>
  <colors>
    <mruColors>
      <color rgb="FFFF604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396240</xdr:colOff>
          <xdr:row>22</xdr:row>
          <xdr:rowOff>38100</xdr:rowOff>
        </xdr:from>
        <xdr:to>
          <xdr:col>7</xdr:col>
          <xdr:colOff>563880</xdr:colOff>
          <xdr:row>22</xdr:row>
          <xdr:rowOff>251460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Suggestion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Suggesstion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472440</xdr:colOff>
          <xdr:row>22</xdr:row>
          <xdr:rowOff>22860</xdr:rowOff>
        </xdr:from>
        <xdr:to>
          <xdr:col>21</xdr:col>
          <xdr:colOff>601980</xdr:colOff>
          <xdr:row>22</xdr:row>
          <xdr:rowOff>274320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Quick 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</xdr:colOff>
          <xdr:row>31</xdr:row>
          <xdr:rowOff>68580</xdr:rowOff>
        </xdr:from>
        <xdr:to>
          <xdr:col>7</xdr:col>
          <xdr:colOff>327660</xdr:colOff>
          <xdr:row>32</xdr:row>
          <xdr:rowOff>45720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Payment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129540</xdr:colOff>
          <xdr:row>31</xdr:row>
          <xdr:rowOff>60960</xdr:rowOff>
        </xdr:from>
        <xdr:to>
          <xdr:col>21</xdr:col>
          <xdr:colOff>480060</xdr:colOff>
          <xdr:row>32</xdr:row>
          <xdr:rowOff>30480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Payment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121920</xdr:colOff>
          <xdr:row>46</xdr:row>
          <xdr:rowOff>53340</xdr:rowOff>
        </xdr:from>
        <xdr:to>
          <xdr:col>4</xdr:col>
          <xdr:colOff>434340</xdr:colOff>
          <xdr:row>48</xdr:row>
          <xdr:rowOff>22860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See Interest rate comparision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243840</xdr:colOff>
          <xdr:row>2</xdr:row>
          <xdr:rowOff>45720</xdr:rowOff>
        </xdr:from>
        <xdr:to>
          <xdr:col>3</xdr:col>
          <xdr:colOff>1051560</xdr:colOff>
          <xdr:row>3</xdr:row>
          <xdr:rowOff>167640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297180</xdr:colOff>
          <xdr:row>2</xdr:row>
          <xdr:rowOff>53340</xdr:rowOff>
        </xdr:from>
        <xdr:to>
          <xdr:col>5</xdr:col>
          <xdr:colOff>1158240</xdr:colOff>
          <xdr:row>3</xdr:row>
          <xdr:rowOff>160020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</xdr:colOff>
          <xdr:row>3</xdr:row>
          <xdr:rowOff>53340</xdr:rowOff>
        </xdr:from>
        <xdr:to>
          <xdr:col>3</xdr:col>
          <xdr:colOff>533400</xdr:colOff>
          <xdr:row>3</xdr:row>
          <xdr:rowOff>411480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236220</xdr:colOff>
          <xdr:row>3</xdr:row>
          <xdr:rowOff>76200</xdr:rowOff>
        </xdr:from>
        <xdr:to>
          <xdr:col>9</xdr:col>
          <xdr:colOff>952500</xdr:colOff>
          <xdr:row>3</xdr:row>
          <xdr:rowOff>396240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2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DELL\AppData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Back"/>
      <definedName name="Goto_Input"/>
      <definedName name="Goto_Int_comp"/>
      <definedName name="Goto_Payment_Schedule"/>
      <definedName name="Goto_QuickView"/>
      <definedName name="Goto_Suggest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19E11-E971-4EAE-9D39-E73489BF7467}">
  <sheetPr>
    <tabColor theme="3"/>
  </sheetPr>
  <dimension ref="B5:Q65"/>
  <sheetViews>
    <sheetView showGridLines="0" topLeftCell="A31" workbookViewId="0">
      <selection activeCell="AA1" sqref="AA1:XFD1048576"/>
    </sheetView>
  </sheetViews>
  <sheetFormatPr defaultColWidth="0" defaultRowHeight="14.4" x14ac:dyDescent="0.3"/>
  <cols>
    <col min="1" max="26" width="8.88671875" style="126" customWidth="1"/>
    <col min="27" max="16384" width="8.88671875" style="126" hidden="1"/>
  </cols>
  <sheetData>
    <row r="5" spans="2:17" x14ac:dyDescent="0.3">
      <c r="B5" s="125"/>
      <c r="C5" s="125"/>
      <c r="D5" s="125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P5" s="125"/>
      <c r="Q5" s="125"/>
    </row>
    <row r="6" spans="2:17" x14ac:dyDescent="0.3">
      <c r="B6" s="125"/>
      <c r="C6" s="125"/>
      <c r="D6" s="125"/>
      <c r="E6" s="125"/>
      <c r="F6" s="125"/>
      <c r="G6" s="125"/>
      <c r="H6" s="125"/>
      <c r="I6" s="125"/>
      <c r="J6" s="125"/>
      <c r="K6" s="125"/>
      <c r="L6" s="125"/>
      <c r="M6" s="125"/>
      <c r="N6" s="125"/>
      <c r="O6" s="125"/>
      <c r="P6" s="125"/>
      <c r="Q6" s="125"/>
    </row>
    <row r="7" spans="2:17" x14ac:dyDescent="0.3">
      <c r="B7" s="125"/>
      <c r="C7" s="125"/>
      <c r="D7" s="125"/>
      <c r="E7" s="125"/>
      <c r="F7" s="125"/>
      <c r="G7" s="125"/>
      <c r="H7" s="125"/>
      <c r="I7" s="125"/>
      <c r="J7" s="125"/>
      <c r="K7" s="125"/>
      <c r="L7" s="125"/>
      <c r="M7" s="125"/>
      <c r="N7" s="125"/>
      <c r="O7" s="125"/>
      <c r="P7" s="125"/>
      <c r="Q7" s="125"/>
    </row>
    <row r="8" spans="2:17" ht="21" x14ac:dyDescent="0.4">
      <c r="B8" s="125"/>
      <c r="C8" s="128" t="s">
        <v>63</v>
      </c>
      <c r="D8" s="125"/>
      <c r="E8" s="125"/>
      <c r="F8" s="125"/>
      <c r="G8" s="125"/>
      <c r="H8" s="125"/>
      <c r="I8" s="125"/>
      <c r="J8" s="125"/>
      <c r="K8" s="125"/>
      <c r="L8" s="125"/>
      <c r="M8" s="125"/>
      <c r="N8" s="125"/>
      <c r="O8" s="125"/>
      <c r="P8" s="125"/>
      <c r="Q8" s="125"/>
    </row>
    <row r="9" spans="2:17" ht="6" customHeight="1" x14ac:dyDescent="0.3">
      <c r="B9" s="125"/>
      <c r="C9" s="125"/>
      <c r="D9" s="125"/>
      <c r="E9" s="125"/>
      <c r="F9" s="125"/>
      <c r="G9" s="125"/>
      <c r="H9" s="125"/>
      <c r="I9" s="125"/>
      <c r="J9" s="125"/>
      <c r="K9" s="125"/>
      <c r="L9" s="125"/>
      <c r="M9" s="125"/>
      <c r="N9" s="125"/>
      <c r="O9" s="125"/>
      <c r="P9" s="125"/>
      <c r="Q9" s="125"/>
    </row>
    <row r="10" spans="2:17" x14ac:dyDescent="0.3">
      <c r="B10" s="125"/>
      <c r="C10" s="125" t="s">
        <v>64</v>
      </c>
      <c r="D10" s="125"/>
      <c r="E10" s="125"/>
      <c r="F10" s="125"/>
      <c r="G10" s="125"/>
      <c r="H10" s="125"/>
      <c r="I10" s="125"/>
      <c r="J10" s="125"/>
      <c r="K10" s="125"/>
      <c r="L10" s="125"/>
      <c r="M10" s="125"/>
      <c r="N10" s="125"/>
      <c r="O10" s="125"/>
      <c r="P10" s="125"/>
      <c r="Q10" s="125"/>
    </row>
    <row r="11" spans="2:17" x14ac:dyDescent="0.3">
      <c r="B11" s="125"/>
      <c r="C11" s="125" t="s">
        <v>65</v>
      </c>
      <c r="D11" s="125"/>
      <c r="E11" s="125"/>
      <c r="F11" s="125"/>
      <c r="G11" s="125"/>
      <c r="H11" s="125"/>
      <c r="I11" s="125"/>
      <c r="J11" s="125"/>
      <c r="K11" s="125"/>
      <c r="L11" s="125"/>
      <c r="M11" s="125"/>
      <c r="N11" s="125"/>
      <c r="O11" s="125"/>
      <c r="P11" s="125"/>
      <c r="Q11" s="125"/>
    </row>
    <row r="12" spans="2:17" x14ac:dyDescent="0.3">
      <c r="B12" s="125"/>
      <c r="C12" s="125"/>
      <c r="D12" s="125"/>
      <c r="E12" s="125"/>
      <c r="F12" s="125"/>
      <c r="G12" s="125"/>
      <c r="H12" s="125"/>
      <c r="I12" s="125"/>
      <c r="J12" s="125"/>
      <c r="K12" s="125"/>
      <c r="L12" s="125"/>
      <c r="M12" s="125"/>
      <c r="N12" s="125"/>
      <c r="O12" s="125"/>
      <c r="P12" s="125"/>
      <c r="Q12" s="125"/>
    </row>
    <row r="13" spans="2:17" ht="18" x14ac:dyDescent="0.35">
      <c r="B13" s="125"/>
      <c r="C13" s="127" t="s">
        <v>66</v>
      </c>
      <c r="D13" s="125"/>
      <c r="E13" s="125"/>
      <c r="F13" s="125"/>
      <c r="G13" s="125"/>
      <c r="H13" s="125"/>
      <c r="I13" s="125"/>
      <c r="J13" s="125"/>
      <c r="K13" s="125"/>
      <c r="L13" s="125"/>
      <c r="M13" s="125"/>
      <c r="N13" s="125"/>
      <c r="O13" s="125"/>
      <c r="P13" s="125"/>
      <c r="Q13" s="125"/>
    </row>
    <row r="14" spans="2:17" ht="3" customHeight="1" x14ac:dyDescent="0.3">
      <c r="B14" s="125"/>
      <c r="C14" s="129"/>
      <c r="D14" s="129"/>
      <c r="E14" s="129"/>
      <c r="F14" s="129"/>
      <c r="G14" s="129"/>
      <c r="H14" s="129"/>
      <c r="I14" s="125"/>
      <c r="J14" s="125"/>
      <c r="K14" s="125"/>
      <c r="L14" s="125"/>
      <c r="M14" s="125"/>
      <c r="N14" s="125"/>
      <c r="O14" s="125"/>
      <c r="P14" s="125"/>
      <c r="Q14" s="125"/>
    </row>
    <row r="15" spans="2:17" x14ac:dyDescent="0.3">
      <c r="B15" s="125"/>
      <c r="C15" s="125" t="s">
        <v>87</v>
      </c>
      <c r="D15" s="125"/>
      <c r="E15" s="125"/>
      <c r="F15" s="125"/>
      <c r="G15" s="125"/>
      <c r="H15" s="125"/>
      <c r="I15" s="125"/>
      <c r="J15" s="125"/>
      <c r="K15" s="125"/>
      <c r="L15" s="125"/>
      <c r="M15" s="125"/>
      <c r="N15" s="125"/>
      <c r="O15" s="125"/>
      <c r="P15" s="125"/>
      <c r="Q15" s="125"/>
    </row>
    <row r="16" spans="2:17" x14ac:dyDescent="0.3">
      <c r="B16" s="125"/>
      <c r="C16" s="131" t="s">
        <v>68</v>
      </c>
      <c r="D16" s="125"/>
      <c r="E16" s="125"/>
      <c r="F16" s="125"/>
      <c r="G16" s="125"/>
      <c r="H16" s="125" t="s">
        <v>72</v>
      </c>
      <c r="I16" s="125"/>
      <c r="J16" s="125"/>
      <c r="K16" s="125"/>
      <c r="L16" s="125"/>
      <c r="M16" s="125"/>
      <c r="N16" s="125"/>
      <c r="O16" s="125"/>
      <c r="P16" s="125"/>
      <c r="Q16" s="125"/>
    </row>
    <row r="17" spans="2:17" x14ac:dyDescent="0.3">
      <c r="B17" s="125"/>
      <c r="C17" s="131" t="s">
        <v>69</v>
      </c>
      <c r="D17" s="125"/>
      <c r="E17" s="125"/>
      <c r="F17" s="125"/>
      <c r="G17" s="125"/>
      <c r="H17" s="125" t="s">
        <v>73</v>
      </c>
      <c r="I17" s="125"/>
      <c r="J17" s="125"/>
      <c r="K17" s="125"/>
      <c r="L17" s="125"/>
      <c r="M17" s="125"/>
      <c r="N17" s="125"/>
      <c r="O17" s="125"/>
      <c r="P17" s="125"/>
      <c r="Q17" s="125"/>
    </row>
    <row r="18" spans="2:17" x14ac:dyDescent="0.3">
      <c r="B18" s="125"/>
      <c r="C18" s="131" t="s">
        <v>67</v>
      </c>
      <c r="D18" s="125"/>
      <c r="E18" s="125"/>
      <c r="F18" s="125"/>
      <c r="G18" s="125"/>
      <c r="H18" s="125" t="s">
        <v>71</v>
      </c>
      <c r="I18" s="125"/>
      <c r="J18" s="125"/>
      <c r="K18" s="125"/>
      <c r="L18" s="125"/>
      <c r="M18" s="125"/>
      <c r="N18" s="125"/>
      <c r="O18" s="125"/>
      <c r="P18" s="125"/>
      <c r="Q18" s="125"/>
    </row>
    <row r="19" spans="2:17" x14ac:dyDescent="0.3">
      <c r="B19" s="125"/>
      <c r="C19" s="131" t="s">
        <v>70</v>
      </c>
      <c r="D19" s="125"/>
      <c r="E19" s="125"/>
      <c r="F19" s="125"/>
      <c r="G19" s="125"/>
      <c r="H19" s="125" t="s">
        <v>74</v>
      </c>
      <c r="I19" s="125"/>
      <c r="J19" s="125"/>
      <c r="K19" s="125"/>
      <c r="L19" s="125"/>
      <c r="M19" s="125"/>
      <c r="N19" s="125"/>
      <c r="O19" s="125"/>
      <c r="P19" s="125"/>
      <c r="Q19" s="125"/>
    </row>
    <row r="20" spans="2:17" x14ac:dyDescent="0.3">
      <c r="B20" s="125"/>
      <c r="C20" s="131"/>
      <c r="D20" s="125"/>
      <c r="E20" s="125"/>
      <c r="F20" s="125"/>
      <c r="G20" s="125"/>
      <c r="H20" s="125"/>
      <c r="I20" s="125"/>
      <c r="J20" s="125"/>
      <c r="K20" s="125"/>
      <c r="L20" s="125"/>
      <c r="M20" s="125"/>
      <c r="N20" s="125"/>
      <c r="O20" s="125"/>
      <c r="P20" s="125"/>
      <c r="Q20" s="125"/>
    </row>
    <row r="21" spans="2:17" x14ac:dyDescent="0.3">
      <c r="B21" s="125"/>
      <c r="C21" s="1" t="s">
        <v>88</v>
      </c>
      <c r="D21" s="125"/>
      <c r="E21" s="125"/>
      <c r="F21" s="125"/>
      <c r="G21" s="125"/>
      <c r="H21" s="125"/>
      <c r="I21" s="125"/>
      <c r="J21" s="125"/>
      <c r="K21" s="125"/>
      <c r="L21" s="125"/>
      <c r="M21" s="125"/>
      <c r="N21" s="125"/>
      <c r="O21" s="125"/>
      <c r="P21" s="125"/>
      <c r="Q21" s="125"/>
    </row>
    <row r="22" spans="2:17" x14ac:dyDescent="0.3">
      <c r="B22" s="125"/>
      <c r="C22" s="131" t="s">
        <v>75</v>
      </c>
      <c r="D22" s="125"/>
      <c r="E22" s="125"/>
      <c r="F22" s="125"/>
      <c r="G22" s="125"/>
      <c r="H22" s="125" t="s">
        <v>79</v>
      </c>
      <c r="I22" s="125"/>
      <c r="J22" s="125"/>
      <c r="K22" s="125"/>
      <c r="L22" s="125"/>
      <c r="M22" s="125"/>
      <c r="N22" s="125"/>
      <c r="O22" s="125"/>
      <c r="P22" s="125"/>
      <c r="Q22" s="125"/>
    </row>
    <row r="23" spans="2:17" x14ac:dyDescent="0.3">
      <c r="B23" s="125"/>
      <c r="C23" s="131" t="s">
        <v>77</v>
      </c>
      <c r="D23" s="125"/>
      <c r="E23" s="125"/>
      <c r="F23" s="125"/>
      <c r="G23" s="125"/>
      <c r="H23" s="125" t="s">
        <v>80</v>
      </c>
      <c r="I23" s="125"/>
      <c r="J23" s="125"/>
      <c r="K23" s="125"/>
      <c r="L23" s="125"/>
      <c r="M23" s="125"/>
      <c r="N23" s="125"/>
      <c r="O23" s="125"/>
      <c r="P23" s="125"/>
      <c r="Q23" s="125"/>
    </row>
    <row r="24" spans="2:17" x14ac:dyDescent="0.3">
      <c r="B24" s="125"/>
      <c r="C24" s="131" t="s">
        <v>76</v>
      </c>
      <c r="D24" s="125"/>
      <c r="E24" s="125"/>
      <c r="F24" s="125"/>
      <c r="G24" s="125"/>
      <c r="H24" s="125" t="s">
        <v>81</v>
      </c>
      <c r="I24" s="125"/>
      <c r="J24" s="125"/>
      <c r="K24" s="125"/>
      <c r="L24" s="125"/>
      <c r="M24" s="125"/>
      <c r="N24" s="125"/>
      <c r="O24" s="125"/>
      <c r="P24" s="125"/>
      <c r="Q24" s="125"/>
    </row>
    <row r="25" spans="2:17" x14ac:dyDescent="0.3">
      <c r="B25" s="125"/>
      <c r="C25" s="131" t="s">
        <v>78</v>
      </c>
      <c r="D25" s="125"/>
      <c r="E25" s="125"/>
      <c r="F25" s="125"/>
      <c r="G25" s="125"/>
      <c r="H25" s="125" t="s">
        <v>82</v>
      </c>
      <c r="I25" s="125"/>
      <c r="J25" s="125"/>
      <c r="K25" s="125"/>
      <c r="L25" s="125"/>
      <c r="M25" s="125"/>
      <c r="N25" s="125"/>
      <c r="O25" s="125"/>
      <c r="P25" s="125"/>
      <c r="Q25" s="125"/>
    </row>
    <row r="26" spans="2:17" x14ac:dyDescent="0.3">
      <c r="B26" s="125"/>
      <c r="C26" s="125"/>
      <c r="D26" s="125"/>
      <c r="E26" s="125"/>
      <c r="F26" s="125"/>
      <c r="G26" s="125"/>
      <c r="H26" s="125"/>
      <c r="I26" s="125"/>
      <c r="J26" s="125"/>
      <c r="K26" s="125"/>
      <c r="L26" s="125"/>
      <c r="M26" s="125"/>
      <c r="N26" s="125"/>
      <c r="O26" s="125"/>
      <c r="P26" s="125"/>
      <c r="Q26" s="125"/>
    </row>
    <row r="27" spans="2:17" x14ac:dyDescent="0.3">
      <c r="B27" s="125"/>
      <c r="C27" s="125" t="s">
        <v>85</v>
      </c>
      <c r="D27" s="125"/>
      <c r="E27" s="125"/>
      <c r="F27" s="125"/>
      <c r="G27" s="125"/>
      <c r="H27" s="125"/>
      <c r="I27" s="125"/>
      <c r="J27" s="125"/>
      <c r="K27" s="125"/>
      <c r="L27" s="125"/>
      <c r="M27" s="125"/>
      <c r="N27" s="125"/>
      <c r="O27" s="125"/>
      <c r="P27" s="125"/>
      <c r="Q27" s="125"/>
    </row>
    <row r="28" spans="2:17" x14ac:dyDescent="0.3">
      <c r="B28" s="125"/>
      <c r="C28" s="131" t="s">
        <v>84</v>
      </c>
      <c r="D28" s="125"/>
      <c r="E28" s="125"/>
      <c r="F28" s="125"/>
      <c r="G28" s="125"/>
      <c r="H28" s="125"/>
      <c r="I28" s="125"/>
      <c r="J28" s="125"/>
      <c r="K28" s="125"/>
      <c r="L28" s="125"/>
      <c r="M28" s="125"/>
      <c r="N28" s="125"/>
      <c r="O28" s="125"/>
      <c r="P28" s="125"/>
      <c r="Q28" s="125"/>
    </row>
    <row r="29" spans="2:17" x14ac:dyDescent="0.3">
      <c r="B29" s="125"/>
      <c r="C29" s="131" t="s">
        <v>86</v>
      </c>
      <c r="D29" s="125"/>
      <c r="E29" s="125"/>
      <c r="F29" s="125"/>
      <c r="G29" s="125"/>
      <c r="H29" s="125"/>
      <c r="I29" s="125"/>
      <c r="J29" s="125"/>
      <c r="K29" s="125"/>
      <c r="L29" s="125"/>
      <c r="M29" s="125"/>
      <c r="N29" s="125"/>
      <c r="O29" s="125"/>
      <c r="P29" s="125"/>
      <c r="Q29" s="125"/>
    </row>
    <row r="30" spans="2:17" x14ac:dyDescent="0.3">
      <c r="B30" s="125"/>
      <c r="C30" s="125"/>
      <c r="D30" s="125"/>
      <c r="E30" s="125"/>
      <c r="F30" s="125"/>
      <c r="G30" s="125"/>
      <c r="H30" s="125"/>
      <c r="I30" s="125"/>
      <c r="J30" s="125"/>
      <c r="K30" s="125"/>
      <c r="L30" s="125"/>
      <c r="M30" s="125"/>
      <c r="N30" s="125"/>
      <c r="O30" s="125"/>
      <c r="P30" s="125"/>
      <c r="Q30" s="125"/>
    </row>
    <row r="31" spans="2:17" x14ac:dyDescent="0.3">
      <c r="B31" s="125"/>
      <c r="C31" s="1" t="s">
        <v>89</v>
      </c>
      <c r="D31" s="125"/>
      <c r="E31" s="125"/>
      <c r="F31" s="125"/>
      <c r="G31" s="125"/>
      <c r="H31" s="125"/>
      <c r="I31" s="125"/>
      <c r="J31" s="125"/>
      <c r="K31" s="125"/>
      <c r="L31" s="125"/>
      <c r="M31" s="125"/>
      <c r="N31" s="125"/>
      <c r="O31" s="125"/>
      <c r="P31" s="125"/>
      <c r="Q31" s="125"/>
    </row>
    <row r="32" spans="2:17" x14ac:dyDescent="0.3">
      <c r="B32" s="125"/>
      <c r="C32" s="131" t="s">
        <v>90</v>
      </c>
      <c r="D32" s="125"/>
      <c r="E32" s="125"/>
      <c r="F32" s="125"/>
      <c r="G32" s="125"/>
      <c r="H32" s="125" t="s">
        <v>95</v>
      </c>
      <c r="I32" s="125"/>
      <c r="J32" s="125"/>
      <c r="K32" s="125"/>
      <c r="L32" s="125"/>
      <c r="M32" s="125"/>
      <c r="N32" s="125"/>
      <c r="O32" s="125"/>
      <c r="P32" s="125"/>
      <c r="Q32" s="125"/>
    </row>
    <row r="33" spans="2:17" x14ac:dyDescent="0.3">
      <c r="B33" s="125"/>
      <c r="C33" s="131" t="s">
        <v>91</v>
      </c>
      <c r="D33" s="125"/>
      <c r="E33" s="125"/>
      <c r="F33" s="125"/>
      <c r="G33" s="125"/>
      <c r="H33" s="125" t="s">
        <v>94</v>
      </c>
      <c r="I33" s="125"/>
      <c r="J33" s="125"/>
      <c r="K33" s="125"/>
      <c r="L33" s="125"/>
      <c r="M33" s="125"/>
      <c r="N33" s="125"/>
      <c r="O33" s="125"/>
      <c r="P33" s="125"/>
      <c r="Q33" s="125"/>
    </row>
    <row r="34" spans="2:17" x14ac:dyDescent="0.3">
      <c r="B34" s="125"/>
      <c r="C34" s="131" t="s">
        <v>93</v>
      </c>
      <c r="D34" s="125"/>
      <c r="E34" s="125"/>
      <c r="F34" s="125"/>
      <c r="G34" s="125"/>
      <c r="H34" s="125" t="s">
        <v>96</v>
      </c>
      <c r="I34" s="125"/>
      <c r="J34" s="125"/>
      <c r="K34" s="125"/>
      <c r="L34" s="125"/>
      <c r="M34" s="125"/>
      <c r="N34" s="125"/>
      <c r="O34" s="125"/>
      <c r="P34" s="125"/>
      <c r="Q34" s="125"/>
    </row>
    <row r="35" spans="2:17" x14ac:dyDescent="0.3">
      <c r="B35" s="125"/>
      <c r="C35" s="131" t="s">
        <v>92</v>
      </c>
      <c r="D35" s="125"/>
      <c r="E35" s="125"/>
      <c r="F35" s="125"/>
      <c r="G35" s="125"/>
      <c r="H35" s="125"/>
      <c r="I35" s="125"/>
      <c r="J35" s="125"/>
      <c r="K35" s="125"/>
      <c r="L35" s="125"/>
      <c r="M35" s="125"/>
      <c r="N35" s="125"/>
      <c r="O35" s="125"/>
      <c r="P35" s="125"/>
      <c r="Q35" s="125"/>
    </row>
    <row r="36" spans="2:17" x14ac:dyDescent="0.3">
      <c r="B36" s="125"/>
      <c r="C36" s="125"/>
      <c r="D36" s="125"/>
      <c r="E36" s="125"/>
      <c r="F36" s="125"/>
      <c r="G36" s="125"/>
      <c r="H36" s="125"/>
      <c r="I36" s="125"/>
      <c r="J36" s="125"/>
      <c r="K36" s="125"/>
      <c r="L36" s="125"/>
      <c r="M36" s="125"/>
      <c r="N36" s="125"/>
      <c r="O36" s="125"/>
      <c r="P36" s="125"/>
      <c r="Q36" s="125"/>
    </row>
    <row r="37" spans="2:17" x14ac:dyDescent="0.3">
      <c r="B37" s="125"/>
      <c r="C37" s="125"/>
      <c r="D37" s="125"/>
      <c r="E37" s="125"/>
      <c r="F37" s="125"/>
      <c r="G37" s="125"/>
      <c r="H37" s="125"/>
      <c r="I37" s="125"/>
      <c r="J37" s="125"/>
      <c r="K37" s="125"/>
      <c r="L37" s="125"/>
      <c r="M37" s="125"/>
      <c r="N37" s="125"/>
      <c r="O37" s="125"/>
      <c r="P37" s="125"/>
      <c r="Q37" s="125"/>
    </row>
    <row r="38" spans="2:17" ht="18" x14ac:dyDescent="0.35">
      <c r="B38" s="125"/>
      <c r="C38" s="127" t="s">
        <v>97</v>
      </c>
      <c r="D38" s="125"/>
      <c r="E38" s="125"/>
      <c r="F38" s="125"/>
      <c r="G38" s="125"/>
      <c r="H38" s="125"/>
      <c r="I38" s="125"/>
      <c r="J38" s="125"/>
      <c r="K38" s="125"/>
      <c r="L38" s="125"/>
      <c r="M38" s="125"/>
      <c r="N38" s="125"/>
      <c r="O38" s="125"/>
      <c r="P38" s="125"/>
      <c r="Q38" s="125"/>
    </row>
    <row r="39" spans="2:17" ht="3.6" customHeight="1" x14ac:dyDescent="0.3">
      <c r="B39" s="125"/>
      <c r="C39" s="129"/>
      <c r="D39" s="129"/>
      <c r="E39" s="129"/>
      <c r="F39" s="129"/>
      <c r="G39" s="129"/>
      <c r="H39" s="129"/>
      <c r="I39" s="125"/>
      <c r="J39" s="125"/>
      <c r="K39" s="125"/>
      <c r="L39" s="125"/>
      <c r="M39" s="125"/>
      <c r="N39" s="125"/>
      <c r="O39" s="125"/>
      <c r="P39" s="125"/>
      <c r="Q39" s="125"/>
    </row>
    <row r="40" spans="2:17" x14ac:dyDescent="0.3">
      <c r="B40" s="125"/>
      <c r="C40" s="130" t="s">
        <v>98</v>
      </c>
      <c r="D40" s="125"/>
      <c r="E40" s="125"/>
      <c r="F40" s="125"/>
      <c r="G40" s="125"/>
      <c r="H40" s="125"/>
      <c r="I40" s="125"/>
      <c r="J40" s="125"/>
      <c r="K40" s="125"/>
      <c r="L40" s="125"/>
      <c r="M40" s="125"/>
      <c r="N40" s="125"/>
      <c r="O40" s="125"/>
      <c r="P40" s="125"/>
      <c r="Q40" s="125"/>
    </row>
    <row r="41" spans="2:17" x14ac:dyDescent="0.3">
      <c r="B41" s="125"/>
      <c r="C41" s="130" t="s">
        <v>99</v>
      </c>
      <c r="D41" s="125"/>
      <c r="E41" s="125"/>
      <c r="F41" s="125"/>
      <c r="G41" s="125"/>
      <c r="H41" s="125"/>
      <c r="I41" s="125"/>
      <c r="J41" s="125"/>
      <c r="K41" s="125"/>
      <c r="L41" s="125"/>
      <c r="M41" s="125"/>
      <c r="N41" s="125"/>
      <c r="O41" s="125"/>
      <c r="P41" s="125"/>
      <c r="Q41" s="125"/>
    </row>
    <row r="42" spans="2:17" x14ac:dyDescent="0.3">
      <c r="B42" s="125"/>
      <c r="C42" s="130" t="s">
        <v>100</v>
      </c>
      <c r="D42" s="125"/>
      <c r="E42" s="125"/>
      <c r="F42" s="125"/>
      <c r="G42" s="125"/>
      <c r="H42" s="125"/>
      <c r="I42" s="125"/>
      <c r="J42" s="125"/>
      <c r="K42" s="125"/>
      <c r="L42" s="125"/>
      <c r="M42" s="125"/>
      <c r="N42" s="125"/>
      <c r="O42" s="125"/>
      <c r="P42" s="125"/>
      <c r="Q42" s="125"/>
    </row>
    <row r="43" spans="2:17" x14ac:dyDescent="0.3">
      <c r="B43" s="125"/>
      <c r="C43" s="130" t="s">
        <v>101</v>
      </c>
      <c r="D43" s="125"/>
      <c r="E43" s="125"/>
      <c r="F43" s="125"/>
      <c r="G43" s="125"/>
      <c r="H43" s="125"/>
      <c r="I43" s="125"/>
      <c r="J43" s="125"/>
      <c r="K43" s="125"/>
      <c r="L43" s="125"/>
      <c r="M43" s="125"/>
      <c r="N43" s="125"/>
      <c r="O43" s="125"/>
      <c r="P43" s="125"/>
      <c r="Q43" s="125"/>
    </row>
    <row r="44" spans="2:17" x14ac:dyDescent="0.3">
      <c r="B44" s="125"/>
      <c r="C44" s="125" t="s">
        <v>102</v>
      </c>
      <c r="D44" s="125"/>
      <c r="E44" s="125"/>
      <c r="F44" s="125"/>
      <c r="G44" s="125"/>
      <c r="H44" s="125"/>
      <c r="I44" s="125"/>
      <c r="J44" s="125"/>
      <c r="K44" s="125"/>
      <c r="L44" s="125"/>
      <c r="M44" s="125"/>
      <c r="N44" s="125"/>
      <c r="O44" s="125"/>
      <c r="P44" s="125"/>
      <c r="Q44" s="125"/>
    </row>
    <row r="45" spans="2:17" x14ac:dyDescent="0.3">
      <c r="B45" s="125"/>
      <c r="C45" s="125" t="s">
        <v>104</v>
      </c>
      <c r="D45" s="125"/>
      <c r="E45" s="125"/>
      <c r="F45" s="125"/>
      <c r="G45" s="125"/>
      <c r="H45" s="125"/>
      <c r="I45" s="125"/>
      <c r="J45" s="125"/>
      <c r="K45" s="125"/>
      <c r="L45" s="125"/>
      <c r="M45" s="125"/>
      <c r="N45" s="125"/>
      <c r="O45" s="125"/>
      <c r="P45" s="125"/>
      <c r="Q45" s="125"/>
    </row>
    <row r="46" spans="2:17" x14ac:dyDescent="0.3">
      <c r="B46" s="125"/>
      <c r="C46" s="125" t="s">
        <v>103</v>
      </c>
      <c r="D46" s="125"/>
      <c r="E46" s="125"/>
      <c r="F46" s="125"/>
      <c r="G46" s="125"/>
      <c r="H46" s="125"/>
      <c r="I46" s="125"/>
      <c r="J46" s="125"/>
      <c r="K46" s="125"/>
      <c r="L46" s="125"/>
      <c r="M46" s="125"/>
      <c r="N46" s="125"/>
      <c r="O46" s="125"/>
      <c r="P46" s="125"/>
      <c r="Q46" s="125"/>
    </row>
    <row r="47" spans="2:17" x14ac:dyDescent="0.3">
      <c r="B47" s="125"/>
      <c r="C47" s="125"/>
      <c r="D47" s="125"/>
      <c r="E47" s="125"/>
      <c r="F47" s="125"/>
      <c r="G47" s="125"/>
      <c r="H47" s="125"/>
      <c r="I47" s="125"/>
      <c r="J47" s="125"/>
      <c r="K47" s="125"/>
      <c r="L47" s="125"/>
      <c r="M47" s="125"/>
      <c r="N47" s="125"/>
      <c r="O47" s="125"/>
      <c r="P47" s="125"/>
      <c r="Q47" s="125"/>
    </row>
    <row r="48" spans="2:17" x14ac:dyDescent="0.3">
      <c r="B48" s="125"/>
      <c r="C48" s="125"/>
      <c r="D48" s="125"/>
      <c r="E48" s="125"/>
      <c r="F48" s="125"/>
      <c r="G48" s="125"/>
      <c r="H48" s="125"/>
      <c r="I48" s="125"/>
      <c r="J48" s="125"/>
      <c r="K48" s="125"/>
      <c r="L48" s="125"/>
      <c r="M48" s="125"/>
      <c r="N48" s="125"/>
      <c r="O48" s="125"/>
      <c r="P48" s="125"/>
      <c r="Q48" s="125"/>
    </row>
    <row r="49" spans="2:17" x14ac:dyDescent="0.3">
      <c r="B49" s="125"/>
      <c r="C49" s="132" t="s">
        <v>105</v>
      </c>
      <c r="D49" s="125"/>
      <c r="E49" s="125"/>
      <c r="F49" s="125"/>
      <c r="G49" s="125"/>
      <c r="H49" s="125"/>
      <c r="I49" s="125"/>
      <c r="J49" s="125"/>
      <c r="K49" s="125"/>
      <c r="L49" s="125"/>
      <c r="M49" s="125"/>
      <c r="N49" s="125"/>
      <c r="O49" s="125"/>
      <c r="P49" s="125"/>
      <c r="Q49" s="125"/>
    </row>
    <row r="50" spans="2:17" x14ac:dyDescent="0.3">
      <c r="B50" s="125"/>
      <c r="C50" s="132"/>
      <c r="D50" s="125"/>
      <c r="E50" s="125"/>
      <c r="F50" s="125"/>
      <c r="G50" s="125"/>
      <c r="H50" s="125"/>
      <c r="I50" s="125"/>
      <c r="J50" s="125"/>
      <c r="K50" s="125"/>
      <c r="L50" s="125"/>
      <c r="M50" s="125"/>
      <c r="N50" s="125"/>
      <c r="O50" s="125"/>
      <c r="P50" s="125"/>
      <c r="Q50" s="125"/>
    </row>
    <row r="51" spans="2:17" x14ac:dyDescent="0.3">
      <c r="B51" s="125"/>
      <c r="C51" s="125"/>
      <c r="D51" s="125"/>
      <c r="E51" s="125"/>
      <c r="F51" s="125"/>
      <c r="G51" s="125"/>
      <c r="H51" s="125"/>
      <c r="I51" s="125"/>
      <c r="J51" s="125"/>
      <c r="K51" s="125"/>
      <c r="L51" s="125"/>
      <c r="M51" s="125"/>
      <c r="N51" s="125"/>
      <c r="O51" s="125"/>
      <c r="P51" s="125"/>
      <c r="Q51" s="125"/>
    </row>
    <row r="52" spans="2:17" ht="18" x14ac:dyDescent="0.35">
      <c r="B52" s="125"/>
      <c r="C52" s="127" t="s">
        <v>106</v>
      </c>
      <c r="D52" s="125"/>
      <c r="E52" s="125"/>
      <c r="F52" s="125"/>
      <c r="G52" s="125"/>
      <c r="H52" s="125"/>
      <c r="I52" s="125"/>
      <c r="J52" s="125"/>
      <c r="K52" s="125"/>
      <c r="L52" s="125"/>
      <c r="M52" s="125"/>
      <c r="N52" s="125"/>
      <c r="O52" s="125"/>
      <c r="P52" s="125"/>
      <c r="Q52" s="125"/>
    </row>
    <row r="53" spans="2:17" x14ac:dyDescent="0.3">
      <c r="B53" s="125"/>
      <c r="C53" s="125" t="s">
        <v>107</v>
      </c>
      <c r="D53" s="125"/>
      <c r="E53" s="125"/>
      <c r="F53" s="125"/>
      <c r="G53" s="125"/>
      <c r="H53" s="125"/>
      <c r="I53" s="125"/>
      <c r="J53" s="125"/>
      <c r="K53" s="125"/>
      <c r="L53" s="125"/>
      <c r="M53" s="125"/>
      <c r="N53" s="125"/>
      <c r="O53" s="125"/>
      <c r="P53" s="125"/>
      <c r="Q53" s="125"/>
    </row>
    <row r="54" spans="2:17" x14ac:dyDescent="0.3">
      <c r="B54" s="125"/>
      <c r="C54" s="125" t="s">
        <v>108</v>
      </c>
      <c r="D54" s="125"/>
      <c r="E54" s="125"/>
      <c r="F54" s="125"/>
      <c r="G54" s="125"/>
      <c r="H54" s="125"/>
      <c r="I54" s="125"/>
      <c r="J54" s="125"/>
      <c r="K54" s="125"/>
      <c r="L54" s="125"/>
      <c r="M54" s="125"/>
      <c r="N54" s="125"/>
      <c r="O54" s="125"/>
      <c r="P54" s="125"/>
      <c r="Q54" s="125"/>
    </row>
    <row r="55" spans="2:17" x14ac:dyDescent="0.3">
      <c r="B55" s="125"/>
      <c r="C55" s="125"/>
      <c r="D55" s="125"/>
      <c r="E55" s="125"/>
      <c r="F55" s="125"/>
      <c r="G55" s="125"/>
      <c r="H55" s="125"/>
      <c r="I55" s="125"/>
      <c r="J55" s="125"/>
      <c r="K55" s="125"/>
      <c r="L55" s="125"/>
      <c r="M55" s="125"/>
      <c r="N55" s="125"/>
      <c r="O55" s="125"/>
      <c r="P55" s="125"/>
      <c r="Q55" s="125"/>
    </row>
    <row r="56" spans="2:17" x14ac:dyDescent="0.3">
      <c r="B56" s="125"/>
      <c r="C56" s="125"/>
      <c r="D56" s="125"/>
      <c r="E56" s="125"/>
      <c r="F56" s="125"/>
      <c r="G56" s="125"/>
      <c r="H56" s="125"/>
      <c r="I56" s="125"/>
      <c r="J56" s="125"/>
      <c r="K56" s="125"/>
      <c r="L56" s="125"/>
      <c r="M56" s="125"/>
      <c r="N56" s="125"/>
      <c r="O56" s="125"/>
      <c r="P56" s="125"/>
      <c r="Q56" s="125"/>
    </row>
    <row r="57" spans="2:17" x14ac:dyDescent="0.3">
      <c r="B57" s="125"/>
      <c r="C57" s="125"/>
      <c r="D57" s="125"/>
      <c r="E57" s="125"/>
      <c r="F57" s="125"/>
      <c r="G57" s="125"/>
      <c r="H57" s="125"/>
      <c r="I57" s="125"/>
      <c r="J57" s="125"/>
      <c r="K57" s="125"/>
      <c r="L57" s="125"/>
      <c r="M57" s="125"/>
      <c r="N57" s="125"/>
      <c r="O57" s="125"/>
      <c r="P57" s="125"/>
      <c r="Q57" s="125"/>
    </row>
    <row r="58" spans="2:17" x14ac:dyDescent="0.3">
      <c r="B58" s="125"/>
      <c r="C58" s="125"/>
      <c r="D58" s="125"/>
      <c r="E58" s="125"/>
      <c r="F58" s="125"/>
      <c r="G58" s="125"/>
      <c r="H58" s="125"/>
      <c r="I58" s="125"/>
      <c r="J58" s="125"/>
      <c r="K58" s="125"/>
      <c r="L58" s="125"/>
      <c r="M58" s="125"/>
      <c r="N58" s="125"/>
      <c r="O58" s="125"/>
      <c r="P58" s="125"/>
      <c r="Q58" s="125"/>
    </row>
    <row r="59" spans="2:17" x14ac:dyDescent="0.3">
      <c r="B59" s="125"/>
      <c r="C59" s="125"/>
      <c r="D59" s="125"/>
      <c r="E59" s="125"/>
      <c r="F59" s="125"/>
      <c r="G59" s="125"/>
      <c r="H59" s="125"/>
      <c r="I59" s="125"/>
      <c r="J59" s="125"/>
      <c r="K59" s="125"/>
      <c r="L59" s="125"/>
      <c r="M59" s="125"/>
      <c r="N59" s="125"/>
      <c r="O59" s="125"/>
      <c r="P59" s="125"/>
      <c r="Q59" s="125"/>
    </row>
    <row r="60" spans="2:17" x14ac:dyDescent="0.3">
      <c r="B60" s="125"/>
      <c r="C60" s="125"/>
      <c r="D60" s="125"/>
      <c r="E60" s="125"/>
      <c r="F60" s="125"/>
      <c r="G60" s="125"/>
      <c r="H60" s="125"/>
      <c r="I60" s="125"/>
      <c r="J60" s="125"/>
      <c r="K60" s="125"/>
      <c r="L60" s="125"/>
      <c r="M60" s="125"/>
      <c r="N60" s="125"/>
      <c r="O60" s="125"/>
      <c r="P60" s="125"/>
      <c r="Q60" s="125"/>
    </row>
    <row r="61" spans="2:17" x14ac:dyDescent="0.3">
      <c r="B61" s="125"/>
      <c r="C61" s="125"/>
      <c r="D61" s="125"/>
      <c r="E61" s="125"/>
      <c r="F61" s="125"/>
      <c r="G61" s="125"/>
      <c r="H61" s="125"/>
      <c r="I61" s="125"/>
      <c r="J61" s="125"/>
      <c r="K61" s="125"/>
      <c r="L61" s="125"/>
      <c r="M61" s="125"/>
      <c r="N61" s="125"/>
      <c r="O61" s="125"/>
      <c r="P61" s="125"/>
      <c r="Q61" s="125"/>
    </row>
    <row r="62" spans="2:17" x14ac:dyDescent="0.3">
      <c r="B62" s="125"/>
      <c r="C62" s="125"/>
      <c r="D62" s="125"/>
      <c r="E62" s="125"/>
      <c r="F62" s="125"/>
      <c r="G62" s="125"/>
      <c r="H62" s="125"/>
      <c r="I62" s="125"/>
      <c r="J62" s="125"/>
      <c r="K62" s="125"/>
      <c r="L62" s="125"/>
      <c r="M62" s="125"/>
      <c r="N62" s="125"/>
      <c r="O62" s="125"/>
      <c r="P62" s="125"/>
      <c r="Q62" s="125"/>
    </row>
    <row r="63" spans="2:17" x14ac:dyDescent="0.3">
      <c r="B63" s="125"/>
      <c r="C63" s="125"/>
      <c r="D63" s="125"/>
      <c r="E63" s="125"/>
      <c r="F63" s="125"/>
      <c r="G63" s="125"/>
      <c r="H63" s="125"/>
      <c r="I63" s="125"/>
      <c r="J63" s="125"/>
      <c r="K63" s="125"/>
      <c r="L63" s="125"/>
      <c r="M63" s="125"/>
      <c r="N63" s="125"/>
      <c r="O63" s="125"/>
      <c r="P63" s="125"/>
      <c r="Q63" s="125"/>
    </row>
    <row r="64" spans="2:17" x14ac:dyDescent="0.3">
      <c r="B64" s="125"/>
      <c r="C64" s="125"/>
      <c r="D64" s="125"/>
      <c r="E64" s="125"/>
      <c r="F64" s="125"/>
      <c r="G64" s="125"/>
      <c r="H64" s="125"/>
      <c r="I64" s="125"/>
      <c r="J64" s="125"/>
      <c r="K64" s="125"/>
      <c r="L64" s="125"/>
      <c r="M64" s="125"/>
      <c r="N64" s="125"/>
      <c r="O64" s="125"/>
      <c r="P64" s="125"/>
      <c r="Q64" s="125"/>
    </row>
    <row r="65" spans="2:17" x14ac:dyDescent="0.3">
      <c r="B65" s="125"/>
      <c r="C65" s="125"/>
      <c r="D65" s="125"/>
      <c r="E65" s="125"/>
      <c r="F65" s="125"/>
      <c r="G65" s="125"/>
      <c r="H65" s="125"/>
      <c r="I65" s="125"/>
      <c r="J65" s="125"/>
      <c r="K65" s="125"/>
      <c r="L65" s="125"/>
      <c r="M65" s="125"/>
      <c r="N65" s="125"/>
      <c r="O65" s="125"/>
      <c r="P65" s="125"/>
      <c r="Q65" s="125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E3999-EAD5-43D9-B7A4-116499E601B2}">
  <sheetPr codeName="Sheet2">
    <tabColor theme="0" tint="-0.499984740745262"/>
  </sheetPr>
  <dimension ref="A4:Z43"/>
  <sheetViews>
    <sheetView showGridLines="0" tabSelected="1" zoomScale="90" zoomScaleNormal="90" workbookViewId="0">
      <selection activeCell="K2" sqref="K2"/>
    </sheetView>
  </sheetViews>
  <sheetFormatPr defaultColWidth="0" defaultRowHeight="14.4" x14ac:dyDescent="0.3"/>
  <cols>
    <col min="1" max="1" width="8.88671875" style="1" customWidth="1"/>
    <col min="2" max="2" width="4.44140625" style="1" customWidth="1"/>
    <col min="3" max="3" width="14.109375" style="1" customWidth="1"/>
    <col min="4" max="4" width="8.88671875" style="1" customWidth="1"/>
    <col min="5" max="5" width="12.77734375" style="1" customWidth="1"/>
    <col min="6" max="6" width="8.88671875" style="1" customWidth="1"/>
    <col min="7" max="7" width="14.33203125" style="1" bestFit="1" customWidth="1"/>
    <col min="8" max="8" width="8.88671875" style="1" customWidth="1"/>
    <col min="9" max="9" width="13.88671875" style="1" customWidth="1"/>
    <col min="10" max="10" width="8.88671875" style="1" customWidth="1"/>
    <col min="11" max="11" width="13" style="1" customWidth="1"/>
    <col min="12" max="12" width="4" style="1" customWidth="1"/>
    <col min="13" max="13" width="4.77734375" style="1" customWidth="1"/>
    <col min="14" max="14" width="4.5546875" style="1" customWidth="1"/>
    <col min="15" max="15" width="15.5546875" style="1" customWidth="1"/>
    <col min="16" max="16" width="8.88671875" style="1" customWidth="1"/>
    <col min="17" max="17" width="3.109375" style="1" customWidth="1"/>
    <col min="18" max="18" width="13" style="1" customWidth="1"/>
    <col min="19" max="19" width="8.88671875" style="1" customWidth="1"/>
    <col min="20" max="20" width="4.5546875" style="1" customWidth="1"/>
    <col min="21" max="21" width="13" style="1" customWidth="1"/>
    <col min="22" max="26" width="8.88671875" style="1" customWidth="1"/>
    <col min="27" max="16384" width="8.88671875" style="1" hidden="1"/>
  </cols>
  <sheetData>
    <row r="4" spans="2:20" ht="21" x14ac:dyDescent="0.4">
      <c r="C4" s="123" t="s">
        <v>62</v>
      </c>
    </row>
    <row r="7" spans="2:20" ht="29.4" thickBot="1" x14ac:dyDescent="0.35">
      <c r="B7" s="3"/>
      <c r="C7" s="67" t="s">
        <v>7</v>
      </c>
      <c r="D7" s="3"/>
      <c r="E7" s="3"/>
      <c r="F7" s="3"/>
      <c r="G7" s="3"/>
      <c r="H7" s="3"/>
      <c r="I7" s="3"/>
      <c r="J7" s="3"/>
      <c r="K7" s="7" t="s">
        <v>27</v>
      </c>
      <c r="L7" s="3"/>
      <c r="N7" s="8"/>
      <c r="O7" s="11" t="s">
        <v>9</v>
      </c>
      <c r="P7" s="8"/>
      <c r="Q7" s="8"/>
      <c r="R7" s="8"/>
      <c r="S7" s="8"/>
      <c r="T7" s="8"/>
    </row>
    <row r="8" spans="2:20" ht="29.4" thickBot="1" x14ac:dyDescent="0.35">
      <c r="B8" s="3"/>
      <c r="C8" s="4" t="s">
        <v>0</v>
      </c>
      <c r="D8" s="5"/>
      <c r="E8" s="4" t="s">
        <v>1</v>
      </c>
      <c r="F8" s="5"/>
      <c r="G8" s="4" t="s">
        <v>2</v>
      </c>
      <c r="H8" s="5"/>
      <c r="I8" s="4" t="s">
        <v>3</v>
      </c>
      <c r="J8" s="5"/>
      <c r="K8" s="4" t="s">
        <v>8</v>
      </c>
      <c r="L8" s="3"/>
      <c r="N8" s="8"/>
      <c r="O8" s="9" t="s">
        <v>10</v>
      </c>
      <c r="P8" s="48">
        <v>0.03</v>
      </c>
      <c r="Q8" s="8"/>
      <c r="R8" s="9" t="s">
        <v>55</v>
      </c>
      <c r="S8" s="50">
        <v>0.02</v>
      </c>
      <c r="T8" s="8"/>
    </row>
    <row r="9" spans="2:20" ht="22.2" customHeight="1" thickBot="1" x14ac:dyDescent="0.35">
      <c r="B9" s="3"/>
      <c r="C9" s="45"/>
      <c r="D9" s="5"/>
      <c r="E9" s="46"/>
      <c r="F9" s="5"/>
      <c r="G9" s="45"/>
      <c r="H9" s="5"/>
      <c r="I9" s="45"/>
      <c r="J9" s="5"/>
      <c r="K9" s="6" t="s">
        <v>25</v>
      </c>
      <c r="L9" s="3"/>
      <c r="N9" s="8"/>
      <c r="O9" s="8"/>
      <c r="P9" s="8"/>
      <c r="Q9" s="8"/>
      <c r="R9" s="8"/>
      <c r="S9" s="8"/>
      <c r="T9" s="8"/>
    </row>
    <row r="10" spans="2:20" ht="15" thickBot="1" x14ac:dyDescent="0.35">
      <c r="B10" s="3"/>
      <c r="C10" s="5"/>
      <c r="D10" s="5"/>
      <c r="E10" s="5"/>
      <c r="F10" s="5"/>
      <c r="G10" s="5"/>
      <c r="H10" s="5"/>
      <c r="I10" s="5"/>
      <c r="J10" s="5"/>
      <c r="K10" s="5"/>
      <c r="L10" s="3"/>
      <c r="N10" s="8"/>
      <c r="O10" s="9" t="s">
        <v>34</v>
      </c>
      <c r="P10" s="49">
        <v>4.0000000000000001E-3</v>
      </c>
      <c r="Q10" s="8"/>
      <c r="R10" s="9" t="s">
        <v>13</v>
      </c>
      <c r="S10" s="49">
        <v>1.9E-2</v>
      </c>
      <c r="T10" s="8"/>
    </row>
    <row r="11" spans="2:20" ht="15" thickBot="1" x14ac:dyDescent="0.35">
      <c r="B11" s="3"/>
      <c r="C11" s="5"/>
      <c r="D11" s="5"/>
      <c r="E11" s="5"/>
      <c r="F11" s="5"/>
      <c r="G11" s="5"/>
      <c r="H11" s="5"/>
      <c r="I11" s="5"/>
      <c r="J11" s="5"/>
      <c r="K11" s="5"/>
      <c r="L11" s="3"/>
      <c r="N11" s="8"/>
      <c r="O11" s="8"/>
      <c r="P11" s="8"/>
      <c r="Q11" s="8"/>
      <c r="R11" s="8"/>
      <c r="S11" s="8"/>
      <c r="T11" s="8"/>
    </row>
    <row r="12" spans="2:20" ht="29.4" thickBot="1" x14ac:dyDescent="0.35">
      <c r="B12" s="3"/>
      <c r="C12" s="4" t="s">
        <v>4</v>
      </c>
      <c r="D12" s="5"/>
      <c r="E12" s="4" t="s">
        <v>26</v>
      </c>
      <c r="F12" s="5"/>
      <c r="G12" s="4" t="s">
        <v>5</v>
      </c>
      <c r="H12" s="5"/>
      <c r="I12" s="4" t="s">
        <v>6</v>
      </c>
      <c r="J12" s="5"/>
      <c r="K12" s="5"/>
      <c r="L12" s="3"/>
      <c r="N12" s="8"/>
      <c r="O12" s="9" t="s">
        <v>11</v>
      </c>
      <c r="P12" s="50">
        <v>0.02</v>
      </c>
      <c r="Q12" s="8"/>
      <c r="R12" s="9" t="s">
        <v>14</v>
      </c>
      <c r="S12" s="50">
        <v>0.04</v>
      </c>
      <c r="T12" s="8"/>
    </row>
    <row r="13" spans="2:20" ht="22.2" customHeight="1" thickBot="1" x14ac:dyDescent="0.35">
      <c r="B13" s="3"/>
      <c r="C13" s="47"/>
      <c r="D13" s="5"/>
      <c r="E13" s="6"/>
      <c r="F13" s="5"/>
      <c r="G13" s="45"/>
      <c r="H13" s="5"/>
      <c r="I13" s="45">
        <v>1251.51</v>
      </c>
      <c r="J13" s="5"/>
      <c r="K13" s="5"/>
      <c r="L13" s="3"/>
      <c r="N13" s="8"/>
      <c r="O13" s="8"/>
      <c r="P13" s="8"/>
      <c r="Q13" s="8"/>
      <c r="R13" s="8"/>
      <c r="S13" s="8"/>
      <c r="T13" s="8"/>
    </row>
    <row r="14" spans="2:20" ht="24" customHeight="1" thickBot="1" x14ac:dyDescent="0.35">
      <c r="B14" s="3"/>
      <c r="C14" s="5"/>
      <c r="D14" s="5"/>
      <c r="E14" s="5"/>
      <c r="F14" s="5"/>
      <c r="G14" s="5"/>
      <c r="H14" s="5"/>
      <c r="I14" s="5"/>
      <c r="J14" s="5"/>
      <c r="K14" s="5"/>
      <c r="L14" s="3"/>
      <c r="N14" s="8"/>
      <c r="O14" s="9" t="s">
        <v>12</v>
      </c>
      <c r="P14" s="51">
        <v>9.1199999999999996E-3</v>
      </c>
      <c r="Q14" s="8"/>
      <c r="R14" s="10" t="s">
        <v>28</v>
      </c>
      <c r="S14" s="50">
        <v>0.2</v>
      </c>
      <c r="T14" s="8"/>
    </row>
    <row r="15" spans="2:20" x14ac:dyDescent="0.3">
      <c r="B15" s="3"/>
      <c r="C15" s="5"/>
      <c r="D15" s="5"/>
      <c r="E15" s="5"/>
      <c r="F15" s="5"/>
      <c r="G15" s="5"/>
      <c r="H15" s="5"/>
      <c r="I15" s="5"/>
      <c r="J15" s="5"/>
      <c r="K15" s="5"/>
      <c r="L15" s="3"/>
      <c r="N15" s="8"/>
      <c r="O15" s="8"/>
      <c r="P15" s="8"/>
      <c r="Q15" s="8"/>
      <c r="R15" s="8"/>
      <c r="S15" s="8"/>
      <c r="T15" s="8"/>
    </row>
    <row r="16" spans="2:20" x14ac:dyDescent="0.3"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N16" s="8"/>
      <c r="O16" s="8"/>
      <c r="P16" s="8"/>
      <c r="Q16" s="8"/>
      <c r="R16" s="8"/>
      <c r="S16" s="8"/>
      <c r="T16" s="8"/>
    </row>
    <row r="19" spans="2:23" x14ac:dyDescent="0.3">
      <c r="U19" s="52"/>
    </row>
    <row r="20" spans="2:23" x14ac:dyDescent="0.3">
      <c r="G20" s="52"/>
    </row>
    <row r="23" spans="2:23" ht="24" thickBot="1" x14ac:dyDescent="0.5">
      <c r="B23" s="13"/>
      <c r="C23" s="14" t="s">
        <v>29</v>
      </c>
      <c r="D23" s="15"/>
      <c r="E23" s="15"/>
      <c r="F23" s="15"/>
      <c r="G23" s="15"/>
      <c r="H23" s="15"/>
      <c r="I23" s="43" t="s">
        <v>32</v>
      </c>
      <c r="N23" s="21"/>
      <c r="O23" s="22" t="s">
        <v>83</v>
      </c>
      <c r="P23" s="23"/>
      <c r="Q23" s="23"/>
      <c r="R23" s="23"/>
      <c r="S23" s="23"/>
      <c r="T23" s="23"/>
      <c r="U23" s="23"/>
      <c r="V23" s="23"/>
      <c r="W23" s="44" t="s">
        <v>33</v>
      </c>
    </row>
    <row r="24" spans="2:23" ht="24.6" customHeight="1" x14ac:dyDescent="0.3">
      <c r="B24" s="13"/>
      <c r="C24" s="26" t="s">
        <v>15</v>
      </c>
      <c r="D24" s="27"/>
      <c r="E24" s="28"/>
      <c r="F24" s="16"/>
      <c r="G24" s="53" t="str" cm="1">
        <f t="array" ref="G24">IF(Down_Payment+closing_cost&lt;Money_at_Bank,Home_Property_Value-Down_Payment,"not affordable, see suggestion")</f>
        <v>not affordable, see suggestion</v>
      </c>
      <c r="H24" s="16"/>
      <c r="I24" s="13"/>
      <c r="N24" s="21"/>
      <c r="O24" s="58" t="s">
        <v>22</v>
      </c>
      <c r="P24" s="32"/>
      <c r="Q24" s="32"/>
      <c r="R24" s="32"/>
      <c r="S24" s="33"/>
      <c r="T24" s="24"/>
      <c r="U24" s="63">
        <f>IFERROR(montly_rent+monthly_expenses,"")</f>
        <v>1251.51</v>
      </c>
      <c r="V24" s="24"/>
      <c r="W24" s="21"/>
    </row>
    <row r="25" spans="2:23" ht="24.6" customHeight="1" x14ac:dyDescent="0.3">
      <c r="B25" s="13"/>
      <c r="C25" s="29" t="s">
        <v>17</v>
      </c>
      <c r="D25" s="30"/>
      <c r="E25" s="31"/>
      <c r="F25" s="17"/>
      <c r="G25" s="54" t="str" cm="1">
        <f t="array" ref="G25">IFERROR(PMT($C$13/12,no_of_periods,-$G$24),"")</f>
        <v/>
      </c>
      <c r="H25" s="17"/>
      <c r="I25" s="13"/>
      <c r="N25" s="21"/>
      <c r="O25" s="59" t="s">
        <v>23</v>
      </c>
      <c r="P25" s="34"/>
      <c r="Q25" s="34"/>
      <c r="R25" s="34"/>
      <c r="S25" s="35"/>
      <c r="T25" s="25"/>
      <c r="U25" s="64" cm="1">
        <f t="array" ref="U25">IFERROR($G$9*reasonable_rule,"")</f>
        <v>0</v>
      </c>
      <c r="V25" s="25"/>
      <c r="W25" s="21"/>
    </row>
    <row r="26" spans="2:23" ht="24.6" customHeight="1" x14ac:dyDescent="0.3">
      <c r="B26" s="13"/>
      <c r="C26" s="29" t="s">
        <v>18</v>
      </c>
      <c r="D26" s="30"/>
      <c r="E26" s="31"/>
      <c r="F26" s="18"/>
      <c r="G26" s="55" cm="1">
        <f t="array" ref="G26">no_of_periods</f>
        <v>0</v>
      </c>
      <c r="H26" s="18"/>
      <c r="I26" s="13"/>
      <c r="N26" s="21"/>
      <c r="O26" s="59" t="s">
        <v>0</v>
      </c>
      <c r="P26" s="34"/>
      <c r="Q26" s="34"/>
      <c r="R26" s="34"/>
      <c r="S26" s="35"/>
      <c r="T26" s="25"/>
      <c r="U26" s="64" t="str" cm="1">
        <f t="array" ref="U26">IFERROR(($U$25-monthly_expenses)/((((1-$E$9)/annuity_certain)+(($P$10+$P$14)/12))),"")</f>
        <v/>
      </c>
      <c r="V26" s="25"/>
      <c r="W26" s="21"/>
    </row>
    <row r="27" spans="2:23" ht="24.6" customHeight="1" x14ac:dyDescent="0.3">
      <c r="B27" s="13"/>
      <c r="C27" s="29" t="s">
        <v>19</v>
      </c>
      <c r="D27" s="30"/>
      <c r="E27" s="31"/>
      <c r="F27" s="17"/>
      <c r="G27" s="54" t="str" cm="1">
        <f t="array" ref="G27">IFERROR($G$25*(no_of_periods-annuity_certain),"")</f>
        <v/>
      </c>
      <c r="H27" s="17"/>
      <c r="I27" s="13"/>
      <c r="N27" s="21"/>
      <c r="O27" s="59" t="s">
        <v>15</v>
      </c>
      <c r="P27" s="34"/>
      <c r="Q27" s="34"/>
      <c r="R27" s="34"/>
      <c r="S27" s="35"/>
      <c r="T27" s="25"/>
      <c r="U27" s="65" t="str">
        <f>IFERROR(U26*(1-$E$9),"")</f>
        <v/>
      </c>
      <c r="V27" s="25"/>
      <c r="W27" s="21"/>
    </row>
    <row r="28" spans="2:23" ht="24.6" customHeight="1" x14ac:dyDescent="0.3">
      <c r="B28" s="13"/>
      <c r="C28" s="29" t="s">
        <v>20</v>
      </c>
      <c r="D28" s="30"/>
      <c r="E28" s="31"/>
      <c r="F28" s="17"/>
      <c r="G28" s="54">
        <f>montly_rent+monthly_expenses</f>
        <v>1251.51</v>
      </c>
      <c r="H28" s="17"/>
      <c r="I28" s="13"/>
      <c r="N28" s="21"/>
      <c r="O28" s="59" t="s">
        <v>16</v>
      </c>
      <c r="P28" s="34"/>
      <c r="Q28" s="34"/>
      <c r="R28" s="34"/>
      <c r="S28" s="35"/>
      <c r="T28" s="25"/>
      <c r="U28" s="98" t="str" cm="1">
        <f t="array" ref="U28">IFERROR(PMT($C$13/12,no_of_periods,-$U$27),"")</f>
        <v/>
      </c>
      <c r="V28" s="25"/>
      <c r="W28" s="21"/>
    </row>
    <row r="29" spans="2:23" ht="24.6" customHeight="1" x14ac:dyDescent="0.3">
      <c r="B29" s="13"/>
      <c r="C29" s="29" t="s">
        <v>23</v>
      </c>
      <c r="D29" s="30"/>
      <c r="E29" s="31"/>
      <c r="F29" s="17"/>
      <c r="G29" s="56" t="str" cm="1">
        <f t="array" ref="G29">IFERROR($G$25+monthly_expenses+monthly_property_tax+monthly_home_insurance,"")</f>
        <v/>
      </c>
      <c r="H29" s="17"/>
      <c r="I29" s="13"/>
      <c r="N29" s="21"/>
      <c r="O29" s="59" t="s">
        <v>19</v>
      </c>
      <c r="P29" s="34"/>
      <c r="Q29" s="34"/>
      <c r="R29" s="34"/>
      <c r="S29" s="35"/>
      <c r="T29" s="25"/>
      <c r="U29" s="66" t="str" cm="1">
        <f t="array" ref="U29">IFERROR($U$28*(no_of_periods-annuity_certain),"")</f>
        <v/>
      </c>
      <c r="V29" s="25"/>
      <c r="W29" s="21"/>
    </row>
    <row r="30" spans="2:23" ht="24.6" customHeight="1" x14ac:dyDescent="0.3">
      <c r="B30" s="13"/>
      <c r="C30" s="29" t="s">
        <v>21</v>
      </c>
      <c r="D30" s="30"/>
      <c r="E30" s="31"/>
      <c r="F30" s="19"/>
      <c r="G30" s="57" t="str" cm="1">
        <f t="array" ref="G30">IFERROR(G24+G27+closing_cost,"")</f>
        <v/>
      </c>
      <c r="H30" s="19"/>
      <c r="I30" s="13"/>
      <c r="N30" s="21"/>
      <c r="O30" s="59" t="s">
        <v>24</v>
      </c>
      <c r="P30" s="34"/>
      <c r="Q30" s="34"/>
      <c r="R30" s="34"/>
      <c r="S30" s="35"/>
      <c r="T30" s="25"/>
      <c r="U30" s="64" t="str">
        <f>IFERROR($U$27+$U$29+($S$8*$U$26),"")</f>
        <v/>
      </c>
      <c r="V30" s="25"/>
      <c r="W30" s="21"/>
    </row>
    <row r="31" spans="2:23" ht="24.6" customHeight="1" x14ac:dyDescent="0.3">
      <c r="B31" s="13"/>
      <c r="C31" s="29" t="s">
        <v>35</v>
      </c>
      <c r="D31" s="30"/>
      <c r="E31" s="31"/>
      <c r="F31" s="17"/>
      <c r="G31" s="56" t="str" cm="1">
        <f t="array" ref="G31">IFERROR($G$30+Down_Payment,"")</f>
        <v/>
      </c>
      <c r="H31" s="17"/>
      <c r="I31" s="13"/>
      <c r="N31" s="21"/>
      <c r="O31" s="60" t="s">
        <v>35</v>
      </c>
      <c r="P31" s="36"/>
      <c r="Q31" s="36"/>
      <c r="R31" s="36"/>
      <c r="S31" s="37"/>
      <c r="T31" s="61"/>
      <c r="U31" s="68" t="str">
        <f>IFERROR($U$30+($E$9*$U$26),"")</f>
        <v/>
      </c>
      <c r="V31" s="25"/>
      <c r="W31" s="21"/>
    </row>
    <row r="32" spans="2:23" ht="24.6" customHeight="1" x14ac:dyDescent="0.3">
      <c r="B32" s="13"/>
      <c r="C32" s="13"/>
      <c r="D32" s="13"/>
      <c r="E32" s="20"/>
      <c r="F32" s="13"/>
      <c r="G32" s="13"/>
      <c r="H32" s="13"/>
      <c r="I32" s="13"/>
      <c r="N32" s="21"/>
      <c r="O32" s="36"/>
      <c r="P32" s="36"/>
      <c r="Q32" s="36"/>
      <c r="R32" s="36"/>
      <c r="S32" s="37"/>
      <c r="T32" s="21"/>
      <c r="U32" s="21"/>
      <c r="V32" s="21"/>
      <c r="W32" s="21"/>
    </row>
    <row r="33" spans="2:23" x14ac:dyDescent="0.3">
      <c r="B33" s="13"/>
      <c r="C33" s="13"/>
      <c r="D33" s="13"/>
      <c r="E33" s="13"/>
      <c r="F33" s="13"/>
      <c r="G33" s="13"/>
      <c r="H33" s="13"/>
      <c r="I33" s="13"/>
      <c r="N33" s="21"/>
      <c r="O33" s="21"/>
      <c r="P33" s="21"/>
      <c r="Q33" s="21"/>
      <c r="R33" s="21"/>
      <c r="S33" s="21"/>
      <c r="T33" s="21"/>
      <c r="U33" s="21"/>
      <c r="V33" s="21"/>
      <c r="W33" s="21"/>
    </row>
    <row r="38" spans="2:23" ht="18.600000000000001" thickBot="1" x14ac:dyDescent="0.4">
      <c r="B38" s="62" t="s">
        <v>30</v>
      </c>
      <c r="N38" s="62" t="s">
        <v>31</v>
      </c>
    </row>
    <row r="39" spans="2:23" ht="15.6" x14ac:dyDescent="0.3">
      <c r="B39" s="96" t="str">
        <f>IF($G$25="","To be able to afford the Home Property with market value of $"&amp;TEXT(Home_Property_Value,"#,##.00")&amp;",","")</f>
        <v>To be able to afford the Home Property with market value of $.00,</v>
      </c>
      <c r="C39" s="38"/>
      <c r="D39" s="38"/>
      <c r="E39" s="38"/>
      <c r="F39" s="38"/>
      <c r="G39" s="38"/>
      <c r="H39" s="38"/>
      <c r="I39" s="39"/>
      <c r="N39" s="96" t="str">
        <f>"Under this scenario, depositing income less expenses ("&amp;TEXT($G$9,"#,##0.00")&amp;" - "&amp;TEXT($U$25,"#,##0.00")&amp;") to an account "</f>
        <v xml:space="preserve">Under this scenario, depositing income less expenses (0.00 - 0.00) to an account </v>
      </c>
      <c r="O39" s="38"/>
      <c r="P39" s="38"/>
      <c r="Q39" s="38"/>
      <c r="R39" s="38"/>
      <c r="S39" s="38"/>
      <c r="T39" s="38"/>
      <c r="U39" s="38"/>
      <c r="V39" s="38"/>
      <c r="W39" s="39"/>
    </row>
    <row r="40" spans="2:23" ht="15.6" x14ac:dyDescent="0.3">
      <c r="B40" s="97" t="str">
        <f>IF(B39="","","the money-at-bank fund ($"&amp;TEXT(Money_at_Bank,"#,##0.00")&amp;") invested at a "&amp;TEXT(S12,"0.00%")&amp;" per annum interest rate ")</f>
        <v xml:space="preserve">the money-at-bank fund ($0.00) invested at a 4.00% per annum interest rate </v>
      </c>
      <c r="I40" s="40"/>
      <c r="N40" s="97" t="str">
        <f>"with a "&amp;TEXT($S$12,"0.00%")&amp;" interest rate per annum convertible monthly would mean"</f>
        <v>with a 4.00% interest rate per annum convertible monthly would mean</v>
      </c>
      <c r="W40" s="40"/>
    </row>
    <row r="41" spans="2:23" ht="15.6" x14ac:dyDescent="0.3">
      <c r="B41" s="97" t="e" cm="1">
        <f t="array" ref="B41">IF(B40="","","convertible monthly for a mimimum of "&amp;TEXT(NPER($S$12/12,,-Money_at_Bank,Down_Payment+closing_cost),"0")&amp;" months covers the extra "&amp;TEXT(Down_Payment+closing_cost-Money_at_Bank,"#,##0.00"))</f>
        <v>#NUM!</v>
      </c>
      <c r="I41" s="40"/>
      <c r="N41" s="97" t="e">
        <f>"mortgage obligation could be completed in "&amp;_xlfn.XLOOKUP("stop",MISC!I:I,MISC!D:D)&amp;" months by "&amp;_xlfn.XLOOKUP("stop",MISC!I:I,MISC!E:E)&amp;" with a final"</f>
        <v>#N/A</v>
      </c>
      <c r="W41" s="40"/>
    </row>
    <row r="42" spans="2:23" ht="15.6" x14ac:dyDescent="0.3">
      <c r="B42" s="97" t="str">
        <f>IF(B39="","","needed to finances the down payment and closing fees")</f>
        <v>needed to finances the down payment and closing fees</v>
      </c>
      <c r="I42" s="40"/>
      <c r="N42" s="97" t="e">
        <f>"payment of "&amp;TEXT(_xlfn.XLOOKUP(_xlfn.XLOOKUP("stop",MISC!I:I,MISC!D:D)-1,MISC!D:D,MISC!R:R)+'Mortgage Calculator'!U28,"#,##0.00")</f>
        <v>#N/A</v>
      </c>
      <c r="W42" s="40"/>
    </row>
    <row r="43" spans="2:23" ht="15" thickBot="1" x14ac:dyDescent="0.35">
      <c r="B43" s="41"/>
      <c r="C43" s="12"/>
      <c r="D43" s="12"/>
      <c r="E43" s="12"/>
      <c r="F43" s="12"/>
      <c r="G43" s="12"/>
      <c r="H43" s="12"/>
      <c r="I43" s="42"/>
      <c r="N43" s="41"/>
      <c r="O43" s="12"/>
      <c r="P43" s="12"/>
      <c r="Q43" s="12"/>
      <c r="R43" s="12"/>
      <c r="S43" s="12"/>
      <c r="T43" s="12"/>
      <c r="U43" s="12"/>
      <c r="V43" s="12"/>
      <c r="W43" s="42"/>
    </row>
  </sheetData>
  <dataValidations count="6">
    <dataValidation allowBlank="1" showInputMessage="1" showErrorMessage="1" prompt="input funds for down payment and other upfront payments" sqref="I9" xr:uid="{27F018D3-D718-45C6-B3BB-5A1595117A7B}"/>
    <dataValidation allowBlank="1" showInputMessage="1" showErrorMessage="1" prompt="input average monthly expenses excluding rent" sqref="I13" xr:uid="{6F2D6127-9319-4CCA-9977-55076B800428}"/>
    <dataValidation allowBlank="1" showInputMessage="1" showErrorMessage="1" prompt="input mortgage finacing nominal rate convertible monthly" sqref="C13" xr:uid="{7CC4D85D-9953-40DB-B8B0-D5D9501A8FA3}"/>
    <dataValidation type="list" allowBlank="1" showInputMessage="1" showErrorMessage="1" sqref="K9" xr:uid="{F9984CF3-10DF-4137-8FF8-E59606CC3771}">
      <formula1>"monthly"</formula1>
    </dataValidation>
    <dataValidation type="whole" allowBlank="1" showInputMessage="1" showErrorMessage="1" errorTitle="Term length" error="should be between 10 and 35 years" sqref="E13" xr:uid="{F43BAFBF-C469-47A9-96C9-CAAFF25D3555}">
      <formula1>10</formula1>
      <formula2>35</formula2>
    </dataValidation>
    <dataValidation allowBlank="1" showInputMessage="1" showErrorMessage="1" prompt="Input values in this tab, other tab will be commuted automatically " sqref="K7" xr:uid="{092CE7BE-53C4-4056-AFDB-2C61F19A9641}"/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3" name="Button 8">
              <controlPr defaultSize="0" print="0" autoFill="0" autoPict="0" macro="[1]!Goto_Suggestion">
                <anchor moveWithCells="1" sizeWithCells="1">
                  <from>
                    <xdr:col>6</xdr:col>
                    <xdr:colOff>396240</xdr:colOff>
                    <xdr:row>22</xdr:row>
                    <xdr:rowOff>38100</xdr:rowOff>
                  </from>
                  <to>
                    <xdr:col>7</xdr:col>
                    <xdr:colOff>563880</xdr:colOff>
                    <xdr:row>22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1]!Goto_QuickView">
                <anchor moveWithCells="1" sizeWithCells="1">
                  <from>
                    <xdr:col>20</xdr:col>
                    <xdr:colOff>472440</xdr:colOff>
                    <xdr:row>22</xdr:row>
                    <xdr:rowOff>22860</xdr:rowOff>
                  </from>
                  <to>
                    <xdr:col>21</xdr:col>
                    <xdr:colOff>601980</xdr:colOff>
                    <xdr:row>22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1]!Goto_Payment_Schedule">
                <anchor moveWithCells="1" sizeWithCells="1">
                  <from>
                    <xdr:col>6</xdr:col>
                    <xdr:colOff>68580</xdr:colOff>
                    <xdr:row>31</xdr:row>
                    <xdr:rowOff>68580</xdr:rowOff>
                  </from>
                  <to>
                    <xdr:col>7</xdr:col>
                    <xdr:colOff>327660</xdr:colOff>
                    <xdr:row>32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1]!Goto_Payment_Schedule">
                <anchor moveWithCells="1" sizeWithCells="1">
                  <from>
                    <xdr:col>20</xdr:col>
                    <xdr:colOff>129540</xdr:colOff>
                    <xdr:row>31</xdr:row>
                    <xdr:rowOff>60960</xdr:rowOff>
                  </from>
                  <to>
                    <xdr:col>21</xdr:col>
                    <xdr:colOff>480060</xdr:colOff>
                    <xdr:row>32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Button 12">
              <controlPr defaultSize="0" print="0" autoFill="0" autoPict="0" macro="[1]!Goto_Int_comp">
                <anchor moveWithCells="1" sizeWithCells="1">
                  <from>
                    <xdr:col>2</xdr:col>
                    <xdr:colOff>121920</xdr:colOff>
                    <xdr:row>46</xdr:row>
                    <xdr:rowOff>53340</xdr:rowOff>
                  </from>
                  <to>
                    <xdr:col>4</xdr:col>
                    <xdr:colOff>434340</xdr:colOff>
                    <xdr:row>48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6425FC-AB96-4632-B546-C767D18FB9C8}">
  <sheetPr codeName="Sheet1">
    <tabColor theme="5" tint="-0.249977111117893"/>
  </sheetPr>
  <dimension ref="A7:V21"/>
  <sheetViews>
    <sheetView showGridLines="0" topLeftCell="B1" workbookViewId="0">
      <selection activeCell="D11" sqref="D11"/>
    </sheetView>
  </sheetViews>
  <sheetFormatPr defaultColWidth="0" defaultRowHeight="14.4" x14ac:dyDescent="0.3"/>
  <cols>
    <col min="1" max="3" width="8.88671875" style="1" customWidth="1"/>
    <col min="4" max="4" width="26.6640625" style="1" bestFit="1" customWidth="1"/>
    <col min="5" max="5" width="18" style="1" customWidth="1"/>
    <col min="6" max="6" width="18.21875" style="1" customWidth="1"/>
    <col min="7" max="7" width="5.109375" style="1" customWidth="1"/>
    <col min="8" max="8" width="8.88671875" style="1" customWidth="1"/>
    <col min="9" max="9" width="10.5546875" style="1" bestFit="1" customWidth="1"/>
    <col min="10" max="10" width="8.88671875" style="1" customWidth="1"/>
    <col min="11" max="11" width="6.44140625" style="1" customWidth="1"/>
    <col min="12" max="12" width="9.44140625" style="1" customWidth="1"/>
    <col min="13" max="15" width="8.88671875" style="1" customWidth="1"/>
    <col min="16" max="16" width="13.77734375" style="1" customWidth="1"/>
    <col min="17" max="22" width="8.88671875" style="1" customWidth="1"/>
    <col min="23" max="16384" width="8.88671875" style="1" hidden="1"/>
  </cols>
  <sheetData>
    <row r="7" spans="4:16" ht="23.4" customHeight="1" x14ac:dyDescent="0.3">
      <c r="D7" s="106" t="s">
        <v>48</v>
      </c>
      <c r="E7" s="106" t="s">
        <v>60</v>
      </c>
      <c r="F7" s="106" t="s">
        <v>61</v>
      </c>
    </row>
    <row r="8" spans="4:16" ht="4.2" customHeight="1" x14ac:dyDescent="0.3">
      <c r="D8" s="107"/>
      <c r="E8" s="107"/>
      <c r="F8" s="107"/>
    </row>
    <row r="9" spans="4:16" ht="23.4" customHeight="1" thickBot="1" x14ac:dyDescent="0.4">
      <c r="D9" s="108" t="s">
        <v>49</v>
      </c>
      <c r="E9" s="108" t="str">
        <f>'Mortgage Calculator'!$G$24</f>
        <v>not affordable, see suggestion</v>
      </c>
      <c r="F9" s="108" t="str">
        <f>'Mortgage Calculator'!$G$24</f>
        <v>not affordable, see suggestion</v>
      </c>
      <c r="I9" s="117" t="s">
        <v>59</v>
      </c>
    </row>
    <row r="10" spans="4:16" ht="23.4" customHeight="1" x14ac:dyDescent="0.3">
      <c r="D10" s="109" t="s">
        <v>50</v>
      </c>
      <c r="E10" s="109">
        <f>'Mortgage Calculator'!$E$13</f>
        <v>0</v>
      </c>
      <c r="F10" s="109">
        <f>'Mortgage Calculator'!$E$13</f>
        <v>0</v>
      </c>
      <c r="I10" s="114" t="str">
        <f>IF(E16="","","The "&amp;TEXT(F13,"0.0%")&amp;" mortgage will cost")</f>
        <v/>
      </c>
      <c r="J10" s="115"/>
      <c r="K10" s="115"/>
      <c r="L10" s="122" t="str">
        <f>IFERROR(F16-E16,"")</f>
        <v/>
      </c>
      <c r="M10" s="115" t="str">
        <f>IF(I10="","","more monthly as well as cost")</f>
        <v/>
      </c>
      <c r="N10" s="38"/>
      <c r="O10" s="38"/>
      <c r="P10" s="119" t="str">
        <f>IFERROR(F17-E17,"")</f>
        <v/>
      </c>
    </row>
    <row r="11" spans="4:16" ht="23.4" customHeight="1" x14ac:dyDescent="0.3">
      <c r="D11" s="109" t="s">
        <v>51</v>
      </c>
      <c r="E11" s="109">
        <v>5000</v>
      </c>
      <c r="F11" s="109">
        <v>0</v>
      </c>
      <c r="I11" s="120" t="str">
        <f>IFERROR("and "&amp;TEXT(F18-E18,"#,##0.00")&amp;" more in total interest and total cost respectively compared to the ","")</f>
        <v/>
      </c>
      <c r="J11" s="116"/>
      <c r="P11" s="40"/>
    </row>
    <row r="12" spans="4:16" ht="23.4" customHeight="1" x14ac:dyDescent="0.3">
      <c r="D12" s="109" t="s">
        <v>52</v>
      </c>
      <c r="E12" s="109">
        <v>0</v>
      </c>
      <c r="F12" s="109">
        <v>3000</v>
      </c>
      <c r="I12" s="120" t="str">
        <f>IF(E16="",""," "&amp;TEXT(E13,"0.000%")&amp;" mortgage.")</f>
        <v/>
      </c>
      <c r="J12" s="116"/>
      <c r="P12" s="40"/>
    </row>
    <row r="13" spans="4:16" ht="23.4" customHeight="1" thickBot="1" x14ac:dyDescent="0.35">
      <c r="D13" s="109" t="s">
        <v>53</v>
      </c>
      <c r="E13" s="110">
        <v>6.3750000000000001E-2</v>
      </c>
      <c r="F13" s="111">
        <v>6.5000000000000002E-2</v>
      </c>
      <c r="I13" s="118" t="str">
        <f>IF(E16="","","Thus Option I is the better choice.")</f>
        <v/>
      </c>
      <c r="J13" s="12"/>
      <c r="K13" s="12"/>
      <c r="L13" s="12"/>
      <c r="M13" s="12"/>
      <c r="N13" s="12"/>
      <c r="O13" s="12"/>
      <c r="P13" s="42"/>
    </row>
    <row r="14" spans="4:16" ht="23.4" customHeight="1" x14ac:dyDescent="0.3">
      <c r="D14" s="109" t="s">
        <v>54</v>
      </c>
      <c r="E14" s="109">
        <v>7</v>
      </c>
      <c r="F14" s="109">
        <v>7</v>
      </c>
    </row>
    <row r="15" spans="4:16" ht="4.2" customHeight="1" x14ac:dyDescent="0.3">
      <c r="D15" s="107"/>
      <c r="E15" s="107"/>
      <c r="F15" s="107"/>
    </row>
    <row r="16" spans="4:16" ht="23.4" customHeight="1" x14ac:dyDescent="0.3">
      <c r="D16" s="112" t="s">
        <v>56</v>
      </c>
      <c r="E16" s="121" t="str" cm="1">
        <f t="array" ref="E16">IFERROR(PMT(E13/12,no_of_periods,-E9),"")</f>
        <v/>
      </c>
      <c r="F16" s="121" t="str" cm="1">
        <f t="array" ref="F16">IFERROR(PMT(F13/12,no_of_periods,-F9),"")</f>
        <v/>
      </c>
    </row>
    <row r="17" spans="4:6" ht="23.4" customHeight="1" x14ac:dyDescent="0.3">
      <c r="D17" s="112" t="s">
        <v>57</v>
      </c>
      <c r="E17" s="121" t="str" cm="1">
        <f t="array" ref="E17">IFERROR(E16*(no_of_periods-annuity_certain),"")</f>
        <v/>
      </c>
      <c r="F17" s="121" t="str" cm="1">
        <f t="array" ref="F17">IFERROR(F16*(no_of_periods-annuity_certain),"")</f>
        <v/>
      </c>
    </row>
    <row r="18" spans="4:6" ht="23.4" customHeight="1" x14ac:dyDescent="0.3">
      <c r="D18" s="112" t="s">
        <v>58</v>
      </c>
      <c r="E18" s="113" t="str" cm="1">
        <f t="array" ref="E18">IFERROR(E9+E17+closing_cost+E11-E12,"")</f>
        <v/>
      </c>
      <c r="F18" s="113" t="str" cm="1">
        <f t="array" ref="F18">IFERROR(F9+F17+closing_cost+F11-F12,"")</f>
        <v/>
      </c>
    </row>
    <row r="21" spans="4:6" x14ac:dyDescent="0.3">
      <c r="F21" s="5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1]!Goto_Input">
                <anchor moveWithCells="1" sizeWithCells="1">
                  <from>
                    <xdr:col>3</xdr:col>
                    <xdr:colOff>243840</xdr:colOff>
                    <xdr:row>2</xdr:row>
                    <xdr:rowOff>45720</xdr:rowOff>
                  </from>
                  <to>
                    <xdr:col>3</xdr:col>
                    <xdr:colOff>1051560</xdr:colOff>
                    <xdr:row>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1]!Back">
                <anchor moveWithCells="1" sizeWithCells="1">
                  <from>
                    <xdr:col>5</xdr:col>
                    <xdr:colOff>297180</xdr:colOff>
                    <xdr:row>2</xdr:row>
                    <xdr:rowOff>53340</xdr:rowOff>
                  </from>
                  <to>
                    <xdr:col>5</xdr:col>
                    <xdr:colOff>1158240</xdr:colOff>
                    <xdr:row>3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A05999-05E2-49CA-92A6-0DCB0CAFDE4C}">
  <sheetPr codeName="Sheet3">
    <tabColor theme="8" tint="-0.499984740745262"/>
  </sheetPr>
  <dimension ref="A4:N433"/>
  <sheetViews>
    <sheetView showGridLines="0" workbookViewId="0">
      <selection activeCell="E6" sqref="E6:G6"/>
    </sheetView>
  </sheetViews>
  <sheetFormatPr defaultColWidth="0" defaultRowHeight="14.4" x14ac:dyDescent="0.3"/>
  <cols>
    <col min="1" max="2" width="8.88671875" style="1" customWidth="1"/>
    <col min="3" max="3" width="9" style="1" bestFit="1" customWidth="1"/>
    <col min="4" max="4" width="12.109375" style="1" customWidth="1"/>
    <col min="5" max="5" width="14" style="1" customWidth="1"/>
    <col min="6" max="6" width="12.88671875" style="1" customWidth="1"/>
    <col min="7" max="7" width="10.6640625" style="1" customWidth="1"/>
    <col min="8" max="8" width="17.6640625" style="1" customWidth="1"/>
    <col min="9" max="9" width="4" style="1" customWidth="1"/>
    <col min="10" max="10" width="14.5546875" style="1" customWidth="1"/>
    <col min="11" max="11" width="8.88671875" style="1" customWidth="1"/>
    <col min="12" max="12" width="9.33203125" style="1" bestFit="1" customWidth="1"/>
    <col min="13" max="14" width="8.88671875" style="1" customWidth="1"/>
    <col min="15" max="16384" width="8.88671875" style="1" hidden="1"/>
  </cols>
  <sheetData>
    <row r="4" spans="2:12" ht="36.6" x14ac:dyDescent="0.7">
      <c r="E4" s="72" t="s">
        <v>43</v>
      </c>
    </row>
    <row r="6" spans="2:12" ht="25.8" x14ac:dyDescent="0.5">
      <c r="E6" s="124" t="s">
        <v>83</v>
      </c>
      <c r="F6" s="124"/>
      <c r="G6" s="124"/>
    </row>
    <row r="9" spans="2:12" ht="15" thickBot="1" x14ac:dyDescent="0.35">
      <c r="B9" s="73"/>
      <c r="C9" s="73"/>
      <c r="D9" s="73"/>
      <c r="E9" s="73"/>
      <c r="F9" s="73"/>
      <c r="G9" s="73"/>
      <c r="H9" s="73"/>
      <c r="I9" s="73"/>
      <c r="J9" s="73"/>
      <c r="K9" s="73"/>
    </row>
    <row r="10" spans="2:12" ht="30" customHeight="1" thickBot="1" x14ac:dyDescent="0.35">
      <c r="B10" s="73"/>
      <c r="C10" s="90" t="s">
        <v>36</v>
      </c>
      <c r="D10" s="91" t="s">
        <v>37</v>
      </c>
      <c r="E10" s="92" t="s">
        <v>38</v>
      </c>
      <c r="F10" s="91" t="s">
        <v>40</v>
      </c>
      <c r="G10" s="93" t="s">
        <v>39</v>
      </c>
      <c r="H10" s="93" t="s">
        <v>41</v>
      </c>
      <c r="I10" s="74"/>
      <c r="J10" s="94" t="s">
        <v>42</v>
      </c>
      <c r="K10" s="73"/>
    </row>
    <row r="11" spans="2:12" x14ac:dyDescent="0.3">
      <c r="B11" s="73"/>
      <c r="C11" s="75" t="str">
        <f ca="1">IF(D11="","",ROW()-11)</f>
        <v/>
      </c>
      <c r="D11" s="76" t="str" cm="1">
        <f t="array" aca="1" ref="D11" ca="1">_xlfn.IFS($E$6="First-Line Scenario",IF('Mortgage Calculator'!$G$25="","",TEXT(DATE(YEAR(TODAY()),_xlfn.SEQUENCE(no_of_periods+1),28),"mmm-yyyy")),$E$6="Recommendation",IF('Mortgage Calculator'!$U$26="","",TEXT(DATE(YEAR(TODAY()),_xlfn.SEQUENCE(no_of_periods+1),28),"mmm-yyyy")))</f>
        <v/>
      </c>
      <c r="E11" s="77">
        <v>0</v>
      </c>
      <c r="F11" s="78">
        <v>0</v>
      </c>
      <c r="G11" s="78">
        <v>0</v>
      </c>
      <c r="H11" s="99" t="str" cm="1">
        <f t="array" ref="H11">_xlfn.IFS($E$6="First-Line Scenario",'Mortgage Calculator'!$G$24,$E$6="Recommendation",'Mortgage Calculator'!$U$27)</f>
        <v/>
      </c>
      <c r="I11" s="74"/>
      <c r="J11" s="87">
        <f>F11</f>
        <v>0</v>
      </c>
      <c r="K11" s="73"/>
      <c r="L11" s="71"/>
    </row>
    <row r="12" spans="2:12" x14ac:dyDescent="0.3">
      <c r="B12" s="73"/>
      <c r="C12" s="79" t="str">
        <f>IF(D12="","",ROW()-11)</f>
        <v/>
      </c>
      <c r="D12" s="80"/>
      <c r="E12" s="81" t="str" cm="1">
        <f t="array" ref="E12">_xlfn.IFS($E$6="First-Line Scenario",IFERROR(C12/C12*'Mortgage Calculator'!$G$25," "),$E$6="Recommendation",IFERROR(C12/C12*'Mortgage Calculator'!$U$28,""))</f>
        <v/>
      </c>
      <c r="F12" s="82" t="str">
        <f>IFERROR(C12/C12*H11*'Mortgage Calculator'!$C$13/12,"")</f>
        <v/>
      </c>
      <c r="G12" s="82" t="str">
        <f>IFERROR(E12-F12,"")</f>
        <v/>
      </c>
      <c r="H12" s="100" t="str">
        <f>IFERROR(H11-G12,"")</f>
        <v/>
      </c>
      <c r="I12" s="74"/>
      <c r="J12" s="88" t="str">
        <f>IFERROR(J11+F12,"")</f>
        <v/>
      </c>
      <c r="K12" s="73"/>
    </row>
    <row r="13" spans="2:12" x14ac:dyDescent="0.3">
      <c r="B13" s="73"/>
      <c r="C13" s="79" t="str">
        <f t="shared" ref="C13:C76" si="0">IF(D13="","",ROW()-11)</f>
        <v/>
      </c>
      <c r="D13" s="80"/>
      <c r="E13" s="81" t="str" cm="1">
        <f t="array" ref="E13">_xlfn.IFS($E$6="First-Line Scenario",IFERROR(C13/C13*'Mortgage Calculator'!$G$25," "),$E$6="Recommendation",IFERROR(C13/C13*'Mortgage Calculator'!$U$28,""))</f>
        <v/>
      </c>
      <c r="F13" s="82" t="str">
        <f>IFERROR(C13/C13*H12*'Mortgage Calculator'!$C$13/12,"")</f>
        <v/>
      </c>
      <c r="G13" s="82" t="str">
        <f t="shared" ref="G13:G76" si="1">IFERROR(E13-F13,"")</f>
        <v/>
      </c>
      <c r="H13" s="100" t="str">
        <f t="shared" ref="H13:H76" si="2">IFERROR(H12-G13,"")</f>
        <v/>
      </c>
      <c r="I13" s="74"/>
      <c r="J13" s="88" t="str">
        <f>IFERROR(J12+F13,"")</f>
        <v/>
      </c>
      <c r="K13" s="73"/>
    </row>
    <row r="14" spans="2:12" x14ac:dyDescent="0.3">
      <c r="B14" s="73"/>
      <c r="C14" s="79" t="str">
        <f t="shared" si="0"/>
        <v/>
      </c>
      <c r="D14" s="80"/>
      <c r="E14" s="81" t="str" cm="1">
        <f t="array" ref="E14">_xlfn.IFS($E$6="First-Line Scenario",IFERROR(C14/C14*'Mortgage Calculator'!$G$25," "),$E$6="Recommendation",IFERROR(C14/C14*'Mortgage Calculator'!$U$28,""))</f>
        <v/>
      </c>
      <c r="F14" s="82" t="str">
        <f>IFERROR(C14/C14*H13*'Mortgage Calculator'!$C$13/12,"")</f>
        <v/>
      </c>
      <c r="G14" s="82" t="str">
        <f t="shared" si="1"/>
        <v/>
      </c>
      <c r="H14" s="100" t="str">
        <f t="shared" si="2"/>
        <v/>
      </c>
      <c r="I14" s="74"/>
      <c r="J14" s="88" t="str">
        <f t="shared" ref="J14:J76" si="3">IFERROR(J13+F14,"")</f>
        <v/>
      </c>
      <c r="K14" s="73"/>
    </row>
    <row r="15" spans="2:12" x14ac:dyDescent="0.3">
      <c r="B15" s="73"/>
      <c r="C15" s="79" t="str">
        <f t="shared" si="0"/>
        <v/>
      </c>
      <c r="D15" s="80"/>
      <c r="E15" s="81" t="str" cm="1">
        <f t="array" ref="E15">_xlfn.IFS($E$6="First-Line Scenario",IFERROR(C15/C15*'Mortgage Calculator'!$G$25," "),$E$6="Recommendation",IFERROR(C15/C15*'Mortgage Calculator'!$U$28,""))</f>
        <v/>
      </c>
      <c r="F15" s="82" t="str">
        <f>IFERROR(C15/C15*H14*'Mortgage Calculator'!$C$13/12,"")</f>
        <v/>
      </c>
      <c r="G15" s="82" t="str">
        <f t="shared" si="1"/>
        <v/>
      </c>
      <c r="H15" s="100" t="str">
        <f t="shared" si="2"/>
        <v/>
      </c>
      <c r="I15" s="74"/>
      <c r="J15" s="88" t="str">
        <f t="shared" si="3"/>
        <v/>
      </c>
      <c r="K15" s="73"/>
    </row>
    <row r="16" spans="2:12" x14ac:dyDescent="0.3">
      <c r="B16" s="73"/>
      <c r="C16" s="79" t="str">
        <f t="shared" si="0"/>
        <v/>
      </c>
      <c r="D16" s="80"/>
      <c r="E16" s="81" t="str" cm="1">
        <f t="array" ref="E16">_xlfn.IFS($E$6="First-Line Scenario",IFERROR(C16/C16*'Mortgage Calculator'!$G$25," "),$E$6="Recommendation",IFERROR(C16/C16*'Mortgage Calculator'!$U$28,""))</f>
        <v/>
      </c>
      <c r="F16" s="82" t="str">
        <f>IFERROR(C16/C16*H15*'Mortgage Calculator'!$C$13/12,"")</f>
        <v/>
      </c>
      <c r="G16" s="82" t="str">
        <f t="shared" si="1"/>
        <v/>
      </c>
      <c r="H16" s="100" t="str">
        <f t="shared" si="2"/>
        <v/>
      </c>
      <c r="I16" s="74"/>
      <c r="J16" s="88" t="str">
        <f t="shared" si="3"/>
        <v/>
      </c>
      <c r="K16" s="73"/>
    </row>
    <row r="17" spans="2:11" x14ac:dyDescent="0.3">
      <c r="B17" s="73"/>
      <c r="C17" s="79" t="str">
        <f t="shared" si="0"/>
        <v/>
      </c>
      <c r="D17" s="80"/>
      <c r="E17" s="81" t="str" cm="1">
        <f t="array" ref="E17">_xlfn.IFS($E$6="First-Line Scenario",IFERROR(C17/C17*'Mortgage Calculator'!$G$25," "),$E$6="Recommendation",IFERROR(C17/C17*'Mortgage Calculator'!$U$28,""))</f>
        <v/>
      </c>
      <c r="F17" s="82" t="str">
        <f>IFERROR(C17/C17*H16*'Mortgage Calculator'!$C$13/12,"")</f>
        <v/>
      </c>
      <c r="G17" s="82" t="str">
        <f t="shared" si="1"/>
        <v/>
      </c>
      <c r="H17" s="100" t="str">
        <f t="shared" si="2"/>
        <v/>
      </c>
      <c r="I17" s="74"/>
      <c r="J17" s="88" t="str">
        <f t="shared" si="3"/>
        <v/>
      </c>
      <c r="K17" s="73"/>
    </row>
    <row r="18" spans="2:11" x14ac:dyDescent="0.3">
      <c r="B18" s="73"/>
      <c r="C18" s="79" t="str">
        <f t="shared" si="0"/>
        <v/>
      </c>
      <c r="D18" s="80"/>
      <c r="E18" s="81" t="str" cm="1">
        <f t="array" ref="E18">_xlfn.IFS($E$6="First-Line Scenario",IFERROR(C18/C18*'Mortgage Calculator'!$G$25," "),$E$6="Recommendation",IFERROR(C18/C18*'Mortgage Calculator'!$U$28,""))</f>
        <v/>
      </c>
      <c r="F18" s="82" t="str">
        <f>IFERROR(C18/C18*H17*'Mortgage Calculator'!$C$13/12,"")</f>
        <v/>
      </c>
      <c r="G18" s="82" t="str">
        <f t="shared" si="1"/>
        <v/>
      </c>
      <c r="H18" s="100" t="str">
        <f t="shared" si="2"/>
        <v/>
      </c>
      <c r="I18" s="74"/>
      <c r="J18" s="88" t="str">
        <f t="shared" si="3"/>
        <v/>
      </c>
      <c r="K18" s="73"/>
    </row>
    <row r="19" spans="2:11" x14ac:dyDescent="0.3">
      <c r="B19" s="73"/>
      <c r="C19" s="79" t="str">
        <f t="shared" si="0"/>
        <v/>
      </c>
      <c r="D19" s="80"/>
      <c r="E19" s="81" t="str" cm="1">
        <f t="array" ref="E19">_xlfn.IFS($E$6="First-Line Scenario",IFERROR(C19/C19*'Mortgage Calculator'!$G$25," "),$E$6="Recommendation",IFERROR(C19/C19*'Mortgage Calculator'!$U$28,""))</f>
        <v/>
      </c>
      <c r="F19" s="82" t="str">
        <f>IFERROR(C19/C19*H18*'Mortgage Calculator'!$C$13/12,"")</f>
        <v/>
      </c>
      <c r="G19" s="82" t="str">
        <f t="shared" si="1"/>
        <v/>
      </c>
      <c r="H19" s="100" t="str">
        <f t="shared" si="2"/>
        <v/>
      </c>
      <c r="I19" s="74"/>
      <c r="J19" s="88" t="str">
        <f t="shared" si="3"/>
        <v/>
      </c>
      <c r="K19" s="73"/>
    </row>
    <row r="20" spans="2:11" x14ac:dyDescent="0.3">
      <c r="B20" s="73"/>
      <c r="C20" s="79" t="str">
        <f t="shared" si="0"/>
        <v/>
      </c>
      <c r="D20" s="80"/>
      <c r="E20" s="81" t="str" cm="1">
        <f t="array" ref="E20">_xlfn.IFS($E$6="First-Line Scenario",IFERROR(C20/C20*'Mortgage Calculator'!$G$25," "),$E$6="Recommendation",IFERROR(C20/C20*'Mortgage Calculator'!$U$28,""))</f>
        <v/>
      </c>
      <c r="F20" s="82" t="str">
        <f>IFERROR(C20/C20*H19*'Mortgage Calculator'!$C$13/12,"")</f>
        <v/>
      </c>
      <c r="G20" s="82" t="str">
        <f t="shared" si="1"/>
        <v/>
      </c>
      <c r="H20" s="100" t="str">
        <f t="shared" si="2"/>
        <v/>
      </c>
      <c r="I20" s="74"/>
      <c r="J20" s="88" t="str">
        <f t="shared" si="3"/>
        <v/>
      </c>
      <c r="K20" s="73"/>
    </row>
    <row r="21" spans="2:11" x14ac:dyDescent="0.3">
      <c r="B21" s="73"/>
      <c r="C21" s="79" t="str">
        <f t="shared" si="0"/>
        <v/>
      </c>
      <c r="D21" s="80"/>
      <c r="E21" s="81" t="str" cm="1">
        <f t="array" ref="E21">_xlfn.IFS($E$6="First-Line Scenario",IFERROR(C21/C21*'Mortgage Calculator'!$G$25," "),$E$6="Recommendation",IFERROR(C21/C21*'Mortgage Calculator'!$U$28,""))</f>
        <v/>
      </c>
      <c r="F21" s="82" t="str">
        <f>IFERROR(C21/C21*H20*'Mortgage Calculator'!$C$13/12,"")</f>
        <v/>
      </c>
      <c r="G21" s="82" t="str">
        <f t="shared" si="1"/>
        <v/>
      </c>
      <c r="H21" s="100" t="str">
        <f t="shared" si="2"/>
        <v/>
      </c>
      <c r="I21" s="74"/>
      <c r="J21" s="88" t="str">
        <f t="shared" si="3"/>
        <v/>
      </c>
      <c r="K21" s="73"/>
    </row>
    <row r="22" spans="2:11" x14ac:dyDescent="0.3">
      <c r="B22" s="73"/>
      <c r="C22" s="79" t="str">
        <f t="shared" si="0"/>
        <v/>
      </c>
      <c r="D22" s="80"/>
      <c r="E22" s="81" t="str" cm="1">
        <f t="array" ref="E22">_xlfn.IFS($E$6="First-Line Scenario",IFERROR(C22/C22*'Mortgage Calculator'!$G$25," "),$E$6="Recommendation",IFERROR(C22/C22*'Mortgage Calculator'!$U$28,""))</f>
        <v/>
      </c>
      <c r="F22" s="82" t="str">
        <f>IFERROR(C22/C22*H21*'Mortgage Calculator'!$C$13/12,"")</f>
        <v/>
      </c>
      <c r="G22" s="82" t="str">
        <f t="shared" si="1"/>
        <v/>
      </c>
      <c r="H22" s="100" t="str">
        <f t="shared" si="2"/>
        <v/>
      </c>
      <c r="I22" s="74"/>
      <c r="J22" s="88" t="str">
        <f t="shared" si="3"/>
        <v/>
      </c>
      <c r="K22" s="73"/>
    </row>
    <row r="23" spans="2:11" x14ac:dyDescent="0.3">
      <c r="B23" s="73"/>
      <c r="C23" s="79" t="str">
        <f t="shared" si="0"/>
        <v/>
      </c>
      <c r="D23" s="80"/>
      <c r="E23" s="81" t="str" cm="1">
        <f t="array" ref="E23">_xlfn.IFS($E$6="First-Line Scenario",IFERROR(C23/C23*'Mortgage Calculator'!$G$25," "),$E$6="Recommendation",IFERROR(C23/C23*'Mortgage Calculator'!$U$28,""))</f>
        <v/>
      </c>
      <c r="F23" s="82" t="str">
        <f>IFERROR(C23/C23*H22*'Mortgage Calculator'!$C$13/12,"")</f>
        <v/>
      </c>
      <c r="G23" s="82" t="str">
        <f t="shared" si="1"/>
        <v/>
      </c>
      <c r="H23" s="100" t="str">
        <f t="shared" si="2"/>
        <v/>
      </c>
      <c r="I23" s="74"/>
      <c r="J23" s="88" t="str">
        <f t="shared" si="3"/>
        <v/>
      </c>
      <c r="K23" s="73"/>
    </row>
    <row r="24" spans="2:11" x14ac:dyDescent="0.3">
      <c r="B24" s="73"/>
      <c r="C24" s="79" t="str">
        <f t="shared" si="0"/>
        <v/>
      </c>
      <c r="D24" s="80"/>
      <c r="E24" s="81" t="str" cm="1">
        <f t="array" ref="E24">_xlfn.IFS($E$6="First-Line Scenario",IFERROR(C24/C24*'Mortgage Calculator'!$G$25," "),$E$6="Recommendation",IFERROR(C24/C24*'Mortgage Calculator'!$U$28,""))</f>
        <v/>
      </c>
      <c r="F24" s="82" t="str">
        <f>IFERROR(C24/C24*H23*'Mortgage Calculator'!$C$13/12,"")</f>
        <v/>
      </c>
      <c r="G24" s="82" t="str">
        <f t="shared" si="1"/>
        <v/>
      </c>
      <c r="H24" s="100" t="str">
        <f t="shared" si="2"/>
        <v/>
      </c>
      <c r="I24" s="74"/>
      <c r="J24" s="88" t="str">
        <f t="shared" si="3"/>
        <v/>
      </c>
      <c r="K24" s="73"/>
    </row>
    <row r="25" spans="2:11" x14ac:dyDescent="0.3">
      <c r="B25" s="73"/>
      <c r="C25" s="79" t="str">
        <f t="shared" si="0"/>
        <v/>
      </c>
      <c r="D25" s="80"/>
      <c r="E25" s="81" t="str" cm="1">
        <f t="array" ref="E25">_xlfn.IFS($E$6="First-Line Scenario",IFERROR(C25/C25*'Mortgage Calculator'!$G$25," "),$E$6="Recommendation",IFERROR(C25/C25*'Mortgage Calculator'!$U$28,""))</f>
        <v/>
      </c>
      <c r="F25" s="82" t="str">
        <f>IFERROR(C25/C25*H24*'Mortgage Calculator'!$C$13/12,"")</f>
        <v/>
      </c>
      <c r="G25" s="82" t="str">
        <f t="shared" si="1"/>
        <v/>
      </c>
      <c r="H25" s="100" t="str">
        <f t="shared" si="2"/>
        <v/>
      </c>
      <c r="I25" s="74"/>
      <c r="J25" s="88" t="str">
        <f t="shared" si="3"/>
        <v/>
      </c>
      <c r="K25" s="73"/>
    </row>
    <row r="26" spans="2:11" x14ac:dyDescent="0.3">
      <c r="B26" s="73"/>
      <c r="C26" s="79" t="str">
        <f t="shared" si="0"/>
        <v/>
      </c>
      <c r="D26" s="80"/>
      <c r="E26" s="81" t="str" cm="1">
        <f t="array" ref="E26">_xlfn.IFS($E$6="First-Line Scenario",IFERROR(C26/C26*'Mortgage Calculator'!$G$25," "),$E$6="Recommendation",IFERROR(C26/C26*'Mortgage Calculator'!$U$28,""))</f>
        <v/>
      </c>
      <c r="F26" s="82" t="str">
        <f>IFERROR(C26/C26*H25*'Mortgage Calculator'!$C$13/12,"")</f>
        <v/>
      </c>
      <c r="G26" s="82" t="str">
        <f t="shared" si="1"/>
        <v/>
      </c>
      <c r="H26" s="100" t="str">
        <f t="shared" si="2"/>
        <v/>
      </c>
      <c r="I26" s="74"/>
      <c r="J26" s="88" t="str">
        <f t="shared" si="3"/>
        <v/>
      </c>
      <c r="K26" s="73"/>
    </row>
    <row r="27" spans="2:11" x14ac:dyDescent="0.3">
      <c r="B27" s="73"/>
      <c r="C27" s="79" t="str">
        <f t="shared" si="0"/>
        <v/>
      </c>
      <c r="D27" s="80"/>
      <c r="E27" s="81" t="str" cm="1">
        <f t="array" ref="E27">_xlfn.IFS($E$6="First-Line Scenario",IFERROR(C27/C27*'Mortgage Calculator'!$G$25," "),$E$6="Recommendation",IFERROR(C27/C27*'Mortgage Calculator'!$U$28,""))</f>
        <v/>
      </c>
      <c r="F27" s="82" t="str">
        <f>IFERROR(C27/C27*H26*'Mortgage Calculator'!$C$13/12,"")</f>
        <v/>
      </c>
      <c r="G27" s="82" t="str">
        <f t="shared" si="1"/>
        <v/>
      </c>
      <c r="H27" s="100" t="str">
        <f t="shared" si="2"/>
        <v/>
      </c>
      <c r="I27" s="74"/>
      <c r="J27" s="88" t="str">
        <f t="shared" si="3"/>
        <v/>
      </c>
      <c r="K27" s="73"/>
    </row>
    <row r="28" spans="2:11" x14ac:dyDescent="0.3">
      <c r="B28" s="73"/>
      <c r="C28" s="79" t="str">
        <f t="shared" si="0"/>
        <v/>
      </c>
      <c r="D28" s="80"/>
      <c r="E28" s="81" t="str" cm="1">
        <f t="array" ref="E28">_xlfn.IFS($E$6="First-Line Scenario",IFERROR(C28/C28*'Mortgage Calculator'!$G$25," "),$E$6="Recommendation",IFERROR(C28/C28*'Mortgage Calculator'!$U$28,""))</f>
        <v/>
      </c>
      <c r="F28" s="82" t="str">
        <f>IFERROR(C28/C28*H27*'Mortgage Calculator'!$C$13/12,"")</f>
        <v/>
      </c>
      <c r="G28" s="82" t="str">
        <f t="shared" si="1"/>
        <v/>
      </c>
      <c r="H28" s="100" t="str">
        <f t="shared" si="2"/>
        <v/>
      </c>
      <c r="I28" s="74"/>
      <c r="J28" s="88" t="str">
        <f t="shared" si="3"/>
        <v/>
      </c>
      <c r="K28" s="73"/>
    </row>
    <row r="29" spans="2:11" x14ac:dyDescent="0.3">
      <c r="B29" s="73"/>
      <c r="C29" s="79" t="str">
        <f t="shared" si="0"/>
        <v/>
      </c>
      <c r="D29" s="80"/>
      <c r="E29" s="81" t="str" cm="1">
        <f t="array" ref="E29">_xlfn.IFS($E$6="First-Line Scenario",IFERROR(C29/C29*'Mortgage Calculator'!$G$25," "),$E$6="Recommendation",IFERROR(C29/C29*'Mortgage Calculator'!$U$28,""))</f>
        <v/>
      </c>
      <c r="F29" s="82" t="str">
        <f>IFERROR(C29/C29*H28*'Mortgage Calculator'!$C$13/12,"")</f>
        <v/>
      </c>
      <c r="G29" s="82" t="str">
        <f t="shared" si="1"/>
        <v/>
      </c>
      <c r="H29" s="100" t="str">
        <f t="shared" si="2"/>
        <v/>
      </c>
      <c r="I29" s="74"/>
      <c r="J29" s="88" t="str">
        <f t="shared" si="3"/>
        <v/>
      </c>
      <c r="K29" s="73"/>
    </row>
    <row r="30" spans="2:11" x14ac:dyDescent="0.3">
      <c r="B30" s="73"/>
      <c r="C30" s="79" t="str">
        <f t="shared" si="0"/>
        <v/>
      </c>
      <c r="D30" s="80"/>
      <c r="E30" s="81" t="str" cm="1">
        <f t="array" ref="E30">_xlfn.IFS($E$6="First-Line Scenario",IFERROR(C30/C30*'Mortgage Calculator'!$G$25," "),$E$6="Recommendation",IFERROR(C30/C30*'Mortgage Calculator'!$U$28,""))</f>
        <v/>
      </c>
      <c r="F30" s="82" t="str">
        <f>IFERROR(C30/C30*H29*'Mortgage Calculator'!$C$13/12,"")</f>
        <v/>
      </c>
      <c r="G30" s="82" t="str">
        <f t="shared" si="1"/>
        <v/>
      </c>
      <c r="H30" s="100" t="str">
        <f t="shared" si="2"/>
        <v/>
      </c>
      <c r="I30" s="74"/>
      <c r="J30" s="88" t="str">
        <f t="shared" si="3"/>
        <v/>
      </c>
      <c r="K30" s="73"/>
    </row>
    <row r="31" spans="2:11" x14ac:dyDescent="0.3">
      <c r="B31" s="73"/>
      <c r="C31" s="79" t="str">
        <f t="shared" si="0"/>
        <v/>
      </c>
      <c r="D31" s="80"/>
      <c r="E31" s="81" t="str" cm="1">
        <f t="array" ref="E31">_xlfn.IFS($E$6="First-Line Scenario",IFERROR(C31/C31*'Mortgage Calculator'!$G$25," "),$E$6="Recommendation",IFERROR(C31/C31*'Mortgage Calculator'!$U$28,""))</f>
        <v/>
      </c>
      <c r="F31" s="82" t="str">
        <f>IFERROR(C31/C31*H30*'Mortgage Calculator'!$C$13/12,"")</f>
        <v/>
      </c>
      <c r="G31" s="82" t="str">
        <f t="shared" si="1"/>
        <v/>
      </c>
      <c r="H31" s="100" t="str">
        <f t="shared" si="2"/>
        <v/>
      </c>
      <c r="I31" s="74"/>
      <c r="J31" s="88" t="str">
        <f t="shared" si="3"/>
        <v/>
      </c>
      <c r="K31" s="73"/>
    </row>
    <row r="32" spans="2:11" x14ac:dyDescent="0.3">
      <c r="B32" s="73"/>
      <c r="C32" s="79" t="str">
        <f t="shared" si="0"/>
        <v/>
      </c>
      <c r="D32" s="80"/>
      <c r="E32" s="81" t="str" cm="1">
        <f t="array" ref="E32">_xlfn.IFS($E$6="First-Line Scenario",IFERROR(C32/C32*'Mortgage Calculator'!$G$25," "),$E$6="Recommendation",IFERROR(C32/C32*'Mortgage Calculator'!$U$28,""))</f>
        <v/>
      </c>
      <c r="F32" s="82" t="str">
        <f>IFERROR(C32/C32*H31*'Mortgage Calculator'!$C$13/12,"")</f>
        <v/>
      </c>
      <c r="G32" s="82" t="str">
        <f t="shared" si="1"/>
        <v/>
      </c>
      <c r="H32" s="100" t="str">
        <f t="shared" si="2"/>
        <v/>
      </c>
      <c r="I32" s="74"/>
      <c r="J32" s="88" t="str">
        <f t="shared" si="3"/>
        <v/>
      </c>
      <c r="K32" s="73"/>
    </row>
    <row r="33" spans="2:11" x14ac:dyDescent="0.3">
      <c r="B33" s="73"/>
      <c r="C33" s="79" t="str">
        <f t="shared" si="0"/>
        <v/>
      </c>
      <c r="D33" s="80"/>
      <c r="E33" s="81" t="str" cm="1">
        <f t="array" ref="E33">_xlfn.IFS($E$6="First-Line Scenario",IFERROR(C33/C33*'Mortgage Calculator'!$G$25," "),$E$6="Recommendation",IFERROR(C33/C33*'Mortgage Calculator'!$U$28,""))</f>
        <v/>
      </c>
      <c r="F33" s="82" t="str">
        <f>IFERROR(C33/C33*H32*'Mortgage Calculator'!$C$13/12,"")</f>
        <v/>
      </c>
      <c r="G33" s="82" t="str">
        <f t="shared" si="1"/>
        <v/>
      </c>
      <c r="H33" s="100" t="str">
        <f t="shared" si="2"/>
        <v/>
      </c>
      <c r="I33" s="74"/>
      <c r="J33" s="88" t="str">
        <f t="shared" si="3"/>
        <v/>
      </c>
      <c r="K33" s="73"/>
    </row>
    <row r="34" spans="2:11" x14ac:dyDescent="0.3">
      <c r="B34" s="73"/>
      <c r="C34" s="79" t="str">
        <f t="shared" si="0"/>
        <v/>
      </c>
      <c r="D34" s="80"/>
      <c r="E34" s="81" t="str" cm="1">
        <f t="array" ref="E34">_xlfn.IFS($E$6="First-Line Scenario",IFERROR(C34/C34*'Mortgage Calculator'!$G$25," "),$E$6="Recommendation",IFERROR(C34/C34*'Mortgage Calculator'!$U$28,""))</f>
        <v/>
      </c>
      <c r="F34" s="82" t="str">
        <f>IFERROR(C34/C34*H33*'Mortgage Calculator'!$C$13/12,"")</f>
        <v/>
      </c>
      <c r="G34" s="82" t="str">
        <f t="shared" si="1"/>
        <v/>
      </c>
      <c r="H34" s="100" t="str">
        <f t="shared" si="2"/>
        <v/>
      </c>
      <c r="I34" s="74"/>
      <c r="J34" s="88" t="str">
        <f t="shared" si="3"/>
        <v/>
      </c>
      <c r="K34" s="73"/>
    </row>
    <row r="35" spans="2:11" x14ac:dyDescent="0.3">
      <c r="B35" s="73"/>
      <c r="C35" s="79" t="str">
        <f t="shared" si="0"/>
        <v/>
      </c>
      <c r="D35" s="80"/>
      <c r="E35" s="81" t="str" cm="1">
        <f t="array" ref="E35">_xlfn.IFS($E$6="First-Line Scenario",IFERROR(C35/C35*'Mortgage Calculator'!$G$25," "),$E$6="Recommendation",IFERROR(C35/C35*'Mortgage Calculator'!$U$28,""))</f>
        <v/>
      </c>
      <c r="F35" s="82" t="str">
        <f>IFERROR(C35/C35*H34*'Mortgage Calculator'!$C$13/12,"")</f>
        <v/>
      </c>
      <c r="G35" s="82" t="str">
        <f t="shared" si="1"/>
        <v/>
      </c>
      <c r="H35" s="100" t="str">
        <f t="shared" si="2"/>
        <v/>
      </c>
      <c r="I35" s="74"/>
      <c r="J35" s="88" t="str">
        <f t="shared" si="3"/>
        <v/>
      </c>
      <c r="K35" s="73"/>
    </row>
    <row r="36" spans="2:11" x14ac:dyDescent="0.3">
      <c r="B36" s="73"/>
      <c r="C36" s="79" t="str">
        <f t="shared" si="0"/>
        <v/>
      </c>
      <c r="D36" s="80"/>
      <c r="E36" s="81" t="str" cm="1">
        <f t="array" ref="E36">_xlfn.IFS($E$6="First-Line Scenario",IFERROR(C36/C36*'Mortgage Calculator'!$G$25," "),$E$6="Recommendation",IFERROR(C36/C36*'Mortgage Calculator'!$U$28,""))</f>
        <v/>
      </c>
      <c r="F36" s="82" t="str">
        <f>IFERROR(C36/C36*H35*'Mortgage Calculator'!$C$13/12,"")</f>
        <v/>
      </c>
      <c r="G36" s="82" t="str">
        <f t="shared" si="1"/>
        <v/>
      </c>
      <c r="H36" s="100" t="str">
        <f t="shared" si="2"/>
        <v/>
      </c>
      <c r="I36" s="74"/>
      <c r="J36" s="88" t="str">
        <f t="shared" si="3"/>
        <v/>
      </c>
      <c r="K36" s="73"/>
    </row>
    <row r="37" spans="2:11" x14ac:dyDescent="0.3">
      <c r="B37" s="73"/>
      <c r="C37" s="79" t="str">
        <f t="shared" si="0"/>
        <v/>
      </c>
      <c r="D37" s="80"/>
      <c r="E37" s="81" t="str" cm="1">
        <f t="array" ref="E37">_xlfn.IFS($E$6="First-Line Scenario",IFERROR(C37/C37*'Mortgage Calculator'!$G$25," "),$E$6="Recommendation",IFERROR(C37/C37*'Mortgage Calculator'!$U$28,""))</f>
        <v/>
      </c>
      <c r="F37" s="82" t="str">
        <f>IFERROR(C37/C37*H36*'Mortgage Calculator'!$C$13/12,"")</f>
        <v/>
      </c>
      <c r="G37" s="82" t="str">
        <f t="shared" si="1"/>
        <v/>
      </c>
      <c r="H37" s="100" t="str">
        <f t="shared" si="2"/>
        <v/>
      </c>
      <c r="I37" s="74"/>
      <c r="J37" s="88" t="str">
        <f t="shared" si="3"/>
        <v/>
      </c>
      <c r="K37" s="73"/>
    </row>
    <row r="38" spans="2:11" x14ac:dyDescent="0.3">
      <c r="B38" s="73"/>
      <c r="C38" s="79" t="str">
        <f t="shared" si="0"/>
        <v/>
      </c>
      <c r="D38" s="80"/>
      <c r="E38" s="81" t="str" cm="1">
        <f t="array" ref="E38">_xlfn.IFS($E$6="First-Line Scenario",IFERROR(C38/C38*'Mortgage Calculator'!$G$25," "),$E$6="Recommendation",IFERROR(C38/C38*'Mortgage Calculator'!$U$28,""))</f>
        <v/>
      </c>
      <c r="F38" s="82" t="str">
        <f>IFERROR(C38/C38*H37*'Mortgage Calculator'!$C$13/12,"")</f>
        <v/>
      </c>
      <c r="G38" s="82" t="str">
        <f t="shared" si="1"/>
        <v/>
      </c>
      <c r="H38" s="100" t="str">
        <f t="shared" si="2"/>
        <v/>
      </c>
      <c r="I38" s="74"/>
      <c r="J38" s="88" t="str">
        <f t="shared" si="3"/>
        <v/>
      </c>
      <c r="K38" s="73"/>
    </row>
    <row r="39" spans="2:11" x14ac:dyDescent="0.3">
      <c r="B39" s="73"/>
      <c r="C39" s="79" t="str">
        <f t="shared" si="0"/>
        <v/>
      </c>
      <c r="D39" s="80"/>
      <c r="E39" s="81" t="str" cm="1">
        <f t="array" ref="E39">_xlfn.IFS($E$6="First-Line Scenario",IFERROR(C39/C39*'Mortgage Calculator'!$G$25," "),$E$6="Recommendation",IFERROR(C39/C39*'Mortgage Calculator'!$U$28,""))</f>
        <v/>
      </c>
      <c r="F39" s="82" t="str">
        <f>IFERROR(C39/C39*H38*'Mortgage Calculator'!$C$13/12,"")</f>
        <v/>
      </c>
      <c r="G39" s="82" t="str">
        <f t="shared" si="1"/>
        <v/>
      </c>
      <c r="H39" s="100" t="str">
        <f t="shared" si="2"/>
        <v/>
      </c>
      <c r="I39" s="74"/>
      <c r="J39" s="88" t="str">
        <f t="shared" si="3"/>
        <v/>
      </c>
      <c r="K39" s="73"/>
    </row>
    <row r="40" spans="2:11" x14ac:dyDescent="0.3">
      <c r="B40" s="73"/>
      <c r="C40" s="79" t="str">
        <f t="shared" si="0"/>
        <v/>
      </c>
      <c r="D40" s="80"/>
      <c r="E40" s="81" t="str" cm="1">
        <f t="array" ref="E40">_xlfn.IFS($E$6="First-Line Scenario",IFERROR(C40/C40*'Mortgage Calculator'!$G$25," "),$E$6="Recommendation",IFERROR(C40/C40*'Mortgage Calculator'!$U$28,""))</f>
        <v/>
      </c>
      <c r="F40" s="82" t="str">
        <f>IFERROR(C40/C40*H39*'Mortgage Calculator'!$C$13/12,"")</f>
        <v/>
      </c>
      <c r="G40" s="82" t="str">
        <f t="shared" si="1"/>
        <v/>
      </c>
      <c r="H40" s="100" t="str">
        <f t="shared" si="2"/>
        <v/>
      </c>
      <c r="I40" s="74"/>
      <c r="J40" s="88" t="str">
        <f t="shared" si="3"/>
        <v/>
      </c>
      <c r="K40" s="73"/>
    </row>
    <row r="41" spans="2:11" x14ac:dyDescent="0.3">
      <c r="B41" s="73"/>
      <c r="C41" s="79" t="str">
        <f t="shared" si="0"/>
        <v/>
      </c>
      <c r="D41" s="80"/>
      <c r="E41" s="81" t="str" cm="1">
        <f t="array" ref="E41">_xlfn.IFS($E$6="First-Line Scenario",IFERROR(C41/C41*'Mortgage Calculator'!$G$25," "),$E$6="Recommendation",IFERROR(C41/C41*'Mortgage Calculator'!$U$28,""))</f>
        <v/>
      </c>
      <c r="F41" s="82" t="str">
        <f>IFERROR(C41/C41*H40*'Mortgage Calculator'!$C$13/12,"")</f>
        <v/>
      </c>
      <c r="G41" s="82" t="str">
        <f t="shared" si="1"/>
        <v/>
      </c>
      <c r="H41" s="100" t="str">
        <f t="shared" si="2"/>
        <v/>
      </c>
      <c r="I41" s="74"/>
      <c r="J41" s="88" t="str">
        <f t="shared" si="3"/>
        <v/>
      </c>
      <c r="K41" s="73"/>
    </row>
    <row r="42" spans="2:11" x14ac:dyDescent="0.3">
      <c r="B42" s="73"/>
      <c r="C42" s="79" t="str">
        <f t="shared" si="0"/>
        <v/>
      </c>
      <c r="D42" s="80"/>
      <c r="E42" s="81" t="str" cm="1">
        <f t="array" ref="E42">_xlfn.IFS($E$6="First-Line Scenario",IFERROR(C42/C42*'Mortgage Calculator'!$G$25," "),$E$6="Recommendation",IFERROR(C42/C42*'Mortgage Calculator'!$U$28,""))</f>
        <v/>
      </c>
      <c r="F42" s="82" t="str">
        <f>IFERROR(C42/C42*H41*'Mortgage Calculator'!$C$13/12,"")</f>
        <v/>
      </c>
      <c r="G42" s="82" t="str">
        <f t="shared" si="1"/>
        <v/>
      </c>
      <c r="H42" s="100" t="str">
        <f t="shared" si="2"/>
        <v/>
      </c>
      <c r="I42" s="74"/>
      <c r="J42" s="88" t="str">
        <f t="shared" si="3"/>
        <v/>
      </c>
      <c r="K42" s="73"/>
    </row>
    <row r="43" spans="2:11" x14ac:dyDescent="0.3">
      <c r="B43" s="73"/>
      <c r="C43" s="79" t="str">
        <f t="shared" si="0"/>
        <v/>
      </c>
      <c r="D43" s="80"/>
      <c r="E43" s="81" t="str" cm="1">
        <f t="array" ref="E43">_xlfn.IFS($E$6="First-Line Scenario",IFERROR(C43/C43*'Mortgage Calculator'!$G$25," "),$E$6="Recommendation",IFERROR(C43/C43*'Mortgage Calculator'!$U$28,""))</f>
        <v/>
      </c>
      <c r="F43" s="82" t="str">
        <f>IFERROR(C43/C43*H42*'Mortgage Calculator'!$C$13/12,"")</f>
        <v/>
      </c>
      <c r="G43" s="82" t="str">
        <f t="shared" si="1"/>
        <v/>
      </c>
      <c r="H43" s="100" t="str">
        <f t="shared" si="2"/>
        <v/>
      </c>
      <c r="I43" s="74"/>
      <c r="J43" s="88" t="str">
        <f t="shared" si="3"/>
        <v/>
      </c>
      <c r="K43" s="73"/>
    </row>
    <row r="44" spans="2:11" x14ac:dyDescent="0.3">
      <c r="B44" s="73"/>
      <c r="C44" s="79" t="str">
        <f t="shared" si="0"/>
        <v/>
      </c>
      <c r="D44" s="80"/>
      <c r="E44" s="81" t="str" cm="1">
        <f t="array" ref="E44">_xlfn.IFS($E$6="First-Line Scenario",IFERROR(C44/C44*'Mortgage Calculator'!$G$25," "),$E$6="Recommendation",IFERROR(C44/C44*'Mortgage Calculator'!$U$28,""))</f>
        <v/>
      </c>
      <c r="F44" s="82" t="str">
        <f>IFERROR(C44/C44*H43*'Mortgage Calculator'!$C$13/12,"")</f>
        <v/>
      </c>
      <c r="G44" s="82" t="str">
        <f t="shared" si="1"/>
        <v/>
      </c>
      <c r="H44" s="100" t="str">
        <f t="shared" si="2"/>
        <v/>
      </c>
      <c r="I44" s="74"/>
      <c r="J44" s="88" t="str">
        <f t="shared" si="3"/>
        <v/>
      </c>
      <c r="K44" s="73"/>
    </row>
    <row r="45" spans="2:11" x14ac:dyDescent="0.3">
      <c r="B45" s="73"/>
      <c r="C45" s="79" t="str">
        <f t="shared" si="0"/>
        <v/>
      </c>
      <c r="D45" s="80"/>
      <c r="E45" s="81" t="str" cm="1">
        <f t="array" ref="E45">_xlfn.IFS($E$6="First-Line Scenario",IFERROR(C45/C45*'Mortgage Calculator'!$G$25," "),$E$6="Recommendation",IFERROR(C45/C45*'Mortgage Calculator'!$U$28,""))</f>
        <v/>
      </c>
      <c r="F45" s="82" t="str">
        <f>IFERROR(C45/C45*H44*'Mortgage Calculator'!$C$13/12,"")</f>
        <v/>
      </c>
      <c r="G45" s="82" t="str">
        <f t="shared" si="1"/>
        <v/>
      </c>
      <c r="H45" s="100" t="str">
        <f t="shared" si="2"/>
        <v/>
      </c>
      <c r="I45" s="74"/>
      <c r="J45" s="88" t="str">
        <f t="shared" si="3"/>
        <v/>
      </c>
      <c r="K45" s="73"/>
    </row>
    <row r="46" spans="2:11" x14ac:dyDescent="0.3">
      <c r="B46" s="73"/>
      <c r="C46" s="79" t="str">
        <f t="shared" si="0"/>
        <v/>
      </c>
      <c r="D46" s="80"/>
      <c r="E46" s="81" t="str" cm="1">
        <f t="array" ref="E46">_xlfn.IFS($E$6="First-Line Scenario",IFERROR(C46/C46*'Mortgage Calculator'!$G$25," "),$E$6="Recommendation",IFERROR(C46/C46*'Mortgage Calculator'!$U$28,""))</f>
        <v/>
      </c>
      <c r="F46" s="82" t="str">
        <f>IFERROR(C46/C46*H45*'Mortgage Calculator'!$C$13/12,"")</f>
        <v/>
      </c>
      <c r="G46" s="82" t="str">
        <f t="shared" si="1"/>
        <v/>
      </c>
      <c r="H46" s="100" t="str">
        <f t="shared" si="2"/>
        <v/>
      </c>
      <c r="I46" s="74"/>
      <c r="J46" s="88" t="str">
        <f t="shared" si="3"/>
        <v/>
      </c>
      <c r="K46" s="73"/>
    </row>
    <row r="47" spans="2:11" x14ac:dyDescent="0.3">
      <c r="B47" s="73"/>
      <c r="C47" s="79" t="str">
        <f t="shared" si="0"/>
        <v/>
      </c>
      <c r="D47" s="80"/>
      <c r="E47" s="81" t="str" cm="1">
        <f t="array" ref="E47">_xlfn.IFS($E$6="First-Line Scenario",IFERROR(C47/C47*'Mortgage Calculator'!$G$25," "),$E$6="Recommendation",IFERROR(C47/C47*'Mortgage Calculator'!$U$28,""))</f>
        <v/>
      </c>
      <c r="F47" s="82" t="str">
        <f>IFERROR(C47/C47*H46*'Mortgage Calculator'!$C$13/12,"")</f>
        <v/>
      </c>
      <c r="G47" s="82" t="str">
        <f t="shared" si="1"/>
        <v/>
      </c>
      <c r="H47" s="100" t="str">
        <f t="shared" si="2"/>
        <v/>
      </c>
      <c r="I47" s="74"/>
      <c r="J47" s="88" t="str">
        <f t="shared" si="3"/>
        <v/>
      </c>
      <c r="K47" s="73"/>
    </row>
    <row r="48" spans="2:11" x14ac:dyDescent="0.3">
      <c r="B48" s="73"/>
      <c r="C48" s="79" t="str">
        <f t="shared" si="0"/>
        <v/>
      </c>
      <c r="D48" s="80"/>
      <c r="E48" s="81" t="str" cm="1">
        <f t="array" ref="E48">_xlfn.IFS($E$6="First-Line Scenario",IFERROR(C48/C48*'Mortgage Calculator'!$G$25," "),$E$6="Recommendation",IFERROR(C48/C48*'Mortgage Calculator'!$U$28,""))</f>
        <v/>
      </c>
      <c r="F48" s="82" t="str">
        <f>IFERROR(C48/C48*H47*'Mortgage Calculator'!$C$13/12,"")</f>
        <v/>
      </c>
      <c r="G48" s="82" t="str">
        <f t="shared" si="1"/>
        <v/>
      </c>
      <c r="H48" s="100" t="str">
        <f t="shared" si="2"/>
        <v/>
      </c>
      <c r="I48" s="74"/>
      <c r="J48" s="88" t="str">
        <f t="shared" si="3"/>
        <v/>
      </c>
      <c r="K48" s="73"/>
    </row>
    <row r="49" spans="2:11" x14ac:dyDescent="0.3">
      <c r="B49" s="73"/>
      <c r="C49" s="79" t="str">
        <f t="shared" si="0"/>
        <v/>
      </c>
      <c r="D49" s="80"/>
      <c r="E49" s="81" t="str" cm="1">
        <f t="array" ref="E49">_xlfn.IFS($E$6="First-Line Scenario",IFERROR(C49/C49*'Mortgage Calculator'!$G$25," "),$E$6="Recommendation",IFERROR(C49/C49*'Mortgage Calculator'!$U$28,""))</f>
        <v/>
      </c>
      <c r="F49" s="82" t="str">
        <f>IFERROR(C49/C49*H48*'Mortgage Calculator'!$C$13/12,"")</f>
        <v/>
      </c>
      <c r="G49" s="82" t="str">
        <f t="shared" si="1"/>
        <v/>
      </c>
      <c r="H49" s="100" t="str">
        <f t="shared" si="2"/>
        <v/>
      </c>
      <c r="I49" s="74"/>
      <c r="J49" s="88" t="str">
        <f t="shared" si="3"/>
        <v/>
      </c>
      <c r="K49" s="73"/>
    </row>
    <row r="50" spans="2:11" x14ac:dyDescent="0.3">
      <c r="B50" s="73"/>
      <c r="C50" s="79" t="str">
        <f t="shared" si="0"/>
        <v/>
      </c>
      <c r="D50" s="80"/>
      <c r="E50" s="81" t="str" cm="1">
        <f t="array" ref="E50">_xlfn.IFS($E$6="First-Line Scenario",IFERROR(C50/C50*'Mortgage Calculator'!$G$25," "),$E$6="Recommendation",IFERROR(C50/C50*'Mortgage Calculator'!$U$28,""))</f>
        <v/>
      </c>
      <c r="F50" s="82" t="str">
        <f>IFERROR(C50/C50*H49*'Mortgage Calculator'!$C$13/12,"")</f>
        <v/>
      </c>
      <c r="G50" s="82" t="str">
        <f t="shared" si="1"/>
        <v/>
      </c>
      <c r="H50" s="100" t="str">
        <f t="shared" si="2"/>
        <v/>
      </c>
      <c r="I50" s="74"/>
      <c r="J50" s="88" t="str">
        <f t="shared" si="3"/>
        <v/>
      </c>
      <c r="K50" s="73"/>
    </row>
    <row r="51" spans="2:11" x14ac:dyDescent="0.3">
      <c r="B51" s="73"/>
      <c r="C51" s="79" t="str">
        <f t="shared" si="0"/>
        <v/>
      </c>
      <c r="D51" s="80"/>
      <c r="E51" s="81" t="str" cm="1">
        <f t="array" ref="E51">_xlfn.IFS($E$6="First-Line Scenario",IFERROR(C51/C51*'Mortgage Calculator'!$G$25," "),$E$6="Recommendation",IFERROR(C51/C51*'Mortgage Calculator'!$U$28,""))</f>
        <v/>
      </c>
      <c r="F51" s="82" t="str">
        <f>IFERROR(C51/C51*H50*'Mortgage Calculator'!$C$13/12,"")</f>
        <v/>
      </c>
      <c r="G51" s="82" t="str">
        <f t="shared" si="1"/>
        <v/>
      </c>
      <c r="H51" s="100" t="str">
        <f t="shared" si="2"/>
        <v/>
      </c>
      <c r="I51" s="74"/>
      <c r="J51" s="88" t="str">
        <f t="shared" si="3"/>
        <v/>
      </c>
      <c r="K51" s="73"/>
    </row>
    <row r="52" spans="2:11" x14ac:dyDescent="0.3">
      <c r="B52" s="73"/>
      <c r="C52" s="79" t="str">
        <f t="shared" si="0"/>
        <v/>
      </c>
      <c r="D52" s="80"/>
      <c r="E52" s="81" t="str" cm="1">
        <f t="array" ref="E52">_xlfn.IFS($E$6="First-Line Scenario",IFERROR(C52/C52*'Mortgage Calculator'!$G$25," "),$E$6="Recommendation",IFERROR(C52/C52*'Mortgage Calculator'!$U$28,""))</f>
        <v/>
      </c>
      <c r="F52" s="82" t="str">
        <f>IFERROR(C52/C52*H51*'Mortgage Calculator'!$C$13/12,"")</f>
        <v/>
      </c>
      <c r="G52" s="82" t="str">
        <f t="shared" si="1"/>
        <v/>
      </c>
      <c r="H52" s="100" t="str">
        <f t="shared" si="2"/>
        <v/>
      </c>
      <c r="I52" s="74"/>
      <c r="J52" s="88" t="str">
        <f t="shared" si="3"/>
        <v/>
      </c>
      <c r="K52" s="73"/>
    </row>
    <row r="53" spans="2:11" x14ac:dyDescent="0.3">
      <c r="B53" s="73"/>
      <c r="C53" s="79" t="str">
        <f t="shared" si="0"/>
        <v/>
      </c>
      <c r="D53" s="80"/>
      <c r="E53" s="81" t="str" cm="1">
        <f t="array" ref="E53">_xlfn.IFS($E$6="First-Line Scenario",IFERROR(C53/C53*'Mortgage Calculator'!$G$25," "),$E$6="Recommendation",IFERROR(C53/C53*'Mortgage Calculator'!$U$28,""))</f>
        <v/>
      </c>
      <c r="F53" s="82" t="str">
        <f>IFERROR(C53/C53*H52*'Mortgage Calculator'!$C$13/12,"")</f>
        <v/>
      </c>
      <c r="G53" s="82" t="str">
        <f t="shared" si="1"/>
        <v/>
      </c>
      <c r="H53" s="100" t="str">
        <f t="shared" si="2"/>
        <v/>
      </c>
      <c r="I53" s="74"/>
      <c r="J53" s="88" t="str">
        <f t="shared" si="3"/>
        <v/>
      </c>
      <c r="K53" s="73"/>
    </row>
    <row r="54" spans="2:11" x14ac:dyDescent="0.3">
      <c r="B54" s="73"/>
      <c r="C54" s="79" t="str">
        <f t="shared" si="0"/>
        <v/>
      </c>
      <c r="D54" s="80"/>
      <c r="E54" s="81" t="str" cm="1">
        <f t="array" ref="E54">_xlfn.IFS($E$6="First-Line Scenario",IFERROR(C54/C54*'Mortgage Calculator'!$G$25," "),$E$6="Recommendation",IFERROR(C54/C54*'Mortgage Calculator'!$U$28,""))</f>
        <v/>
      </c>
      <c r="F54" s="82" t="str">
        <f>IFERROR(C54/C54*H53*'Mortgage Calculator'!$C$13/12,"")</f>
        <v/>
      </c>
      <c r="G54" s="82" t="str">
        <f t="shared" si="1"/>
        <v/>
      </c>
      <c r="H54" s="100" t="str">
        <f t="shared" si="2"/>
        <v/>
      </c>
      <c r="I54" s="74"/>
      <c r="J54" s="88" t="str">
        <f t="shared" si="3"/>
        <v/>
      </c>
      <c r="K54" s="73"/>
    </row>
    <row r="55" spans="2:11" x14ac:dyDescent="0.3">
      <c r="B55" s="73"/>
      <c r="C55" s="79" t="str">
        <f t="shared" si="0"/>
        <v/>
      </c>
      <c r="D55" s="80"/>
      <c r="E55" s="81" t="str" cm="1">
        <f t="array" ref="E55">_xlfn.IFS($E$6="First-Line Scenario",IFERROR(C55/C55*'Mortgage Calculator'!$G$25," "),$E$6="Recommendation",IFERROR(C55/C55*'Mortgage Calculator'!$U$28,""))</f>
        <v/>
      </c>
      <c r="F55" s="82" t="str">
        <f>IFERROR(C55/C55*H54*'Mortgage Calculator'!$C$13/12,"")</f>
        <v/>
      </c>
      <c r="G55" s="82" t="str">
        <f t="shared" si="1"/>
        <v/>
      </c>
      <c r="H55" s="100" t="str">
        <f t="shared" si="2"/>
        <v/>
      </c>
      <c r="I55" s="74"/>
      <c r="J55" s="88" t="str">
        <f t="shared" si="3"/>
        <v/>
      </c>
      <c r="K55" s="73"/>
    </row>
    <row r="56" spans="2:11" x14ac:dyDescent="0.3">
      <c r="B56" s="73"/>
      <c r="C56" s="79" t="str">
        <f t="shared" si="0"/>
        <v/>
      </c>
      <c r="D56" s="80"/>
      <c r="E56" s="81" t="str" cm="1">
        <f t="array" ref="E56">_xlfn.IFS($E$6="First-Line Scenario",IFERROR(C56/C56*'Mortgage Calculator'!$G$25," "),$E$6="Recommendation",IFERROR(C56/C56*'Mortgage Calculator'!$U$28,""))</f>
        <v/>
      </c>
      <c r="F56" s="82" t="str">
        <f>IFERROR(C56/C56*H55*'Mortgage Calculator'!$C$13/12,"")</f>
        <v/>
      </c>
      <c r="G56" s="82" t="str">
        <f t="shared" si="1"/>
        <v/>
      </c>
      <c r="H56" s="100" t="str">
        <f t="shared" si="2"/>
        <v/>
      </c>
      <c r="I56" s="74"/>
      <c r="J56" s="88" t="str">
        <f t="shared" si="3"/>
        <v/>
      </c>
      <c r="K56" s="73"/>
    </row>
    <row r="57" spans="2:11" x14ac:dyDescent="0.3">
      <c r="B57" s="73"/>
      <c r="C57" s="79" t="str">
        <f t="shared" si="0"/>
        <v/>
      </c>
      <c r="D57" s="80"/>
      <c r="E57" s="81" t="str" cm="1">
        <f t="array" ref="E57">_xlfn.IFS($E$6="First-Line Scenario",IFERROR(C57/C57*'Mortgage Calculator'!$G$25," "),$E$6="Recommendation",IFERROR(C57/C57*'Mortgage Calculator'!$U$28,""))</f>
        <v/>
      </c>
      <c r="F57" s="82" t="str">
        <f>IFERROR(C57/C57*H56*'Mortgage Calculator'!$C$13/12,"")</f>
        <v/>
      </c>
      <c r="G57" s="82" t="str">
        <f t="shared" si="1"/>
        <v/>
      </c>
      <c r="H57" s="100" t="str">
        <f t="shared" si="2"/>
        <v/>
      </c>
      <c r="I57" s="74"/>
      <c r="J57" s="88" t="str">
        <f t="shared" si="3"/>
        <v/>
      </c>
      <c r="K57" s="73"/>
    </row>
    <row r="58" spans="2:11" x14ac:dyDescent="0.3">
      <c r="B58" s="73"/>
      <c r="C58" s="79" t="str">
        <f t="shared" si="0"/>
        <v/>
      </c>
      <c r="D58" s="80"/>
      <c r="E58" s="81" t="str" cm="1">
        <f t="array" ref="E58">_xlfn.IFS($E$6="First-Line Scenario",IFERROR(C58/C58*'Mortgage Calculator'!$G$25," "),$E$6="Recommendation",IFERROR(C58/C58*'Mortgage Calculator'!$U$28,""))</f>
        <v/>
      </c>
      <c r="F58" s="82" t="str">
        <f>IFERROR(C58/C58*H57*'Mortgage Calculator'!$C$13/12,"")</f>
        <v/>
      </c>
      <c r="G58" s="82" t="str">
        <f t="shared" si="1"/>
        <v/>
      </c>
      <c r="H58" s="100" t="str">
        <f t="shared" si="2"/>
        <v/>
      </c>
      <c r="I58" s="74"/>
      <c r="J58" s="88" t="str">
        <f t="shared" si="3"/>
        <v/>
      </c>
      <c r="K58" s="73"/>
    </row>
    <row r="59" spans="2:11" x14ac:dyDescent="0.3">
      <c r="B59" s="73"/>
      <c r="C59" s="79" t="str">
        <f t="shared" si="0"/>
        <v/>
      </c>
      <c r="D59" s="80"/>
      <c r="E59" s="81" t="str" cm="1">
        <f t="array" ref="E59">_xlfn.IFS($E$6="First-Line Scenario",IFERROR(C59/C59*'Mortgage Calculator'!$G$25," "),$E$6="Recommendation",IFERROR(C59/C59*'Mortgage Calculator'!$U$28,""))</f>
        <v/>
      </c>
      <c r="F59" s="82" t="str">
        <f>IFERROR(C59/C59*H58*'Mortgage Calculator'!$C$13/12,"")</f>
        <v/>
      </c>
      <c r="G59" s="82" t="str">
        <f t="shared" si="1"/>
        <v/>
      </c>
      <c r="H59" s="100" t="str">
        <f t="shared" si="2"/>
        <v/>
      </c>
      <c r="I59" s="74"/>
      <c r="J59" s="88" t="str">
        <f t="shared" si="3"/>
        <v/>
      </c>
      <c r="K59" s="73"/>
    </row>
    <row r="60" spans="2:11" x14ac:dyDescent="0.3">
      <c r="B60" s="73"/>
      <c r="C60" s="79" t="str">
        <f t="shared" si="0"/>
        <v/>
      </c>
      <c r="D60" s="80"/>
      <c r="E60" s="81" t="str" cm="1">
        <f t="array" ref="E60">_xlfn.IFS($E$6="First-Line Scenario",IFERROR(C60/C60*'Mortgage Calculator'!$G$25," "),$E$6="Recommendation",IFERROR(C60/C60*'Mortgage Calculator'!$U$28,""))</f>
        <v/>
      </c>
      <c r="F60" s="82" t="str">
        <f>IFERROR(C60/C60*H59*'Mortgage Calculator'!$C$13/12,"")</f>
        <v/>
      </c>
      <c r="G60" s="82" t="str">
        <f t="shared" si="1"/>
        <v/>
      </c>
      <c r="H60" s="100" t="str">
        <f t="shared" si="2"/>
        <v/>
      </c>
      <c r="I60" s="74"/>
      <c r="J60" s="88" t="str">
        <f t="shared" si="3"/>
        <v/>
      </c>
      <c r="K60" s="73"/>
    </row>
    <row r="61" spans="2:11" x14ac:dyDescent="0.3">
      <c r="B61" s="73"/>
      <c r="C61" s="79" t="str">
        <f t="shared" si="0"/>
        <v/>
      </c>
      <c r="D61" s="80"/>
      <c r="E61" s="81" t="str" cm="1">
        <f t="array" ref="E61">_xlfn.IFS($E$6="First-Line Scenario",IFERROR(C61/C61*'Mortgage Calculator'!$G$25," "),$E$6="Recommendation",IFERROR(C61/C61*'Mortgage Calculator'!$U$28,""))</f>
        <v/>
      </c>
      <c r="F61" s="82" t="str">
        <f>IFERROR(C61/C61*H60*'Mortgage Calculator'!$C$13/12,"")</f>
        <v/>
      </c>
      <c r="G61" s="82" t="str">
        <f t="shared" si="1"/>
        <v/>
      </c>
      <c r="H61" s="100" t="str">
        <f t="shared" si="2"/>
        <v/>
      </c>
      <c r="I61" s="74"/>
      <c r="J61" s="88" t="str">
        <f t="shared" si="3"/>
        <v/>
      </c>
      <c r="K61" s="73"/>
    </row>
    <row r="62" spans="2:11" x14ac:dyDescent="0.3">
      <c r="B62" s="73"/>
      <c r="C62" s="79" t="str">
        <f t="shared" si="0"/>
        <v/>
      </c>
      <c r="D62" s="80"/>
      <c r="E62" s="81" t="str" cm="1">
        <f t="array" ref="E62">_xlfn.IFS($E$6="First-Line Scenario",IFERROR(C62/C62*'Mortgage Calculator'!$G$25," "),$E$6="Recommendation",IFERROR(C62/C62*'Mortgage Calculator'!$U$28,""))</f>
        <v/>
      </c>
      <c r="F62" s="82" t="str">
        <f>IFERROR(C62/C62*H61*'Mortgage Calculator'!$C$13/12,"")</f>
        <v/>
      </c>
      <c r="G62" s="82" t="str">
        <f t="shared" si="1"/>
        <v/>
      </c>
      <c r="H62" s="100" t="str">
        <f t="shared" si="2"/>
        <v/>
      </c>
      <c r="I62" s="74"/>
      <c r="J62" s="88" t="str">
        <f t="shared" si="3"/>
        <v/>
      </c>
      <c r="K62" s="73"/>
    </row>
    <row r="63" spans="2:11" x14ac:dyDescent="0.3">
      <c r="B63" s="73"/>
      <c r="C63" s="79" t="str">
        <f t="shared" si="0"/>
        <v/>
      </c>
      <c r="D63" s="80"/>
      <c r="E63" s="81" t="str" cm="1">
        <f t="array" ref="E63">_xlfn.IFS($E$6="First-Line Scenario",IFERROR(C63/C63*'Mortgage Calculator'!$G$25," "),$E$6="Recommendation",IFERROR(C63/C63*'Mortgage Calculator'!$U$28,""))</f>
        <v/>
      </c>
      <c r="F63" s="82" t="str">
        <f>IFERROR(C63/C63*H62*'Mortgage Calculator'!$C$13/12,"")</f>
        <v/>
      </c>
      <c r="G63" s="82" t="str">
        <f t="shared" si="1"/>
        <v/>
      </c>
      <c r="H63" s="100" t="str">
        <f t="shared" si="2"/>
        <v/>
      </c>
      <c r="I63" s="74"/>
      <c r="J63" s="88" t="str">
        <f t="shared" si="3"/>
        <v/>
      </c>
      <c r="K63" s="73"/>
    </row>
    <row r="64" spans="2:11" x14ac:dyDescent="0.3">
      <c r="B64" s="73"/>
      <c r="C64" s="79" t="str">
        <f t="shared" si="0"/>
        <v/>
      </c>
      <c r="D64" s="80"/>
      <c r="E64" s="81" t="str" cm="1">
        <f t="array" ref="E64">_xlfn.IFS($E$6="First-Line Scenario",IFERROR(C64/C64*'Mortgage Calculator'!$G$25," "),$E$6="Recommendation",IFERROR(C64/C64*'Mortgage Calculator'!$U$28,""))</f>
        <v/>
      </c>
      <c r="F64" s="82" t="str">
        <f>IFERROR(C64/C64*H63*'Mortgage Calculator'!$C$13/12,"")</f>
        <v/>
      </c>
      <c r="G64" s="82" t="str">
        <f t="shared" si="1"/>
        <v/>
      </c>
      <c r="H64" s="100" t="str">
        <f t="shared" si="2"/>
        <v/>
      </c>
      <c r="I64" s="74"/>
      <c r="J64" s="88" t="str">
        <f t="shared" si="3"/>
        <v/>
      </c>
      <c r="K64" s="73"/>
    </row>
    <row r="65" spans="2:11" x14ac:dyDescent="0.3">
      <c r="B65" s="73"/>
      <c r="C65" s="79" t="str">
        <f t="shared" si="0"/>
        <v/>
      </c>
      <c r="D65" s="80"/>
      <c r="E65" s="81" t="str" cm="1">
        <f t="array" ref="E65">_xlfn.IFS($E$6="First-Line Scenario",IFERROR(C65/C65*'Mortgage Calculator'!$G$25," "),$E$6="Recommendation",IFERROR(C65/C65*'Mortgage Calculator'!$U$28,""))</f>
        <v/>
      </c>
      <c r="F65" s="82" t="str">
        <f>IFERROR(C65/C65*H64*'Mortgage Calculator'!$C$13/12,"")</f>
        <v/>
      </c>
      <c r="G65" s="82" t="str">
        <f t="shared" si="1"/>
        <v/>
      </c>
      <c r="H65" s="100" t="str">
        <f t="shared" si="2"/>
        <v/>
      </c>
      <c r="I65" s="74"/>
      <c r="J65" s="88" t="str">
        <f t="shared" si="3"/>
        <v/>
      </c>
      <c r="K65" s="73"/>
    </row>
    <row r="66" spans="2:11" x14ac:dyDescent="0.3">
      <c r="B66" s="73"/>
      <c r="C66" s="79" t="str">
        <f t="shared" si="0"/>
        <v/>
      </c>
      <c r="D66" s="80"/>
      <c r="E66" s="81" t="str" cm="1">
        <f t="array" ref="E66">_xlfn.IFS($E$6="First-Line Scenario",IFERROR(C66/C66*'Mortgage Calculator'!$G$25," "),$E$6="Recommendation",IFERROR(C66/C66*'Mortgage Calculator'!$U$28,""))</f>
        <v/>
      </c>
      <c r="F66" s="82" t="str">
        <f>IFERROR(C66/C66*H65*'Mortgage Calculator'!$C$13/12,"")</f>
        <v/>
      </c>
      <c r="G66" s="82" t="str">
        <f t="shared" si="1"/>
        <v/>
      </c>
      <c r="H66" s="100" t="str">
        <f t="shared" si="2"/>
        <v/>
      </c>
      <c r="I66" s="74"/>
      <c r="J66" s="88" t="str">
        <f t="shared" si="3"/>
        <v/>
      </c>
      <c r="K66" s="73"/>
    </row>
    <row r="67" spans="2:11" x14ac:dyDescent="0.3">
      <c r="B67" s="73"/>
      <c r="C67" s="79" t="str">
        <f t="shared" si="0"/>
        <v/>
      </c>
      <c r="D67" s="80"/>
      <c r="E67" s="81" t="str" cm="1">
        <f t="array" ref="E67">_xlfn.IFS($E$6="First-Line Scenario",IFERROR(C67/C67*'Mortgage Calculator'!$G$25," "),$E$6="Recommendation",IFERROR(C67/C67*'Mortgage Calculator'!$U$28,""))</f>
        <v/>
      </c>
      <c r="F67" s="82" t="str">
        <f>IFERROR(C67/C67*H66*'Mortgage Calculator'!$C$13/12,"")</f>
        <v/>
      </c>
      <c r="G67" s="82" t="str">
        <f t="shared" si="1"/>
        <v/>
      </c>
      <c r="H67" s="100" t="str">
        <f t="shared" si="2"/>
        <v/>
      </c>
      <c r="I67" s="74"/>
      <c r="J67" s="88" t="str">
        <f t="shared" si="3"/>
        <v/>
      </c>
      <c r="K67" s="73"/>
    </row>
    <row r="68" spans="2:11" x14ac:dyDescent="0.3">
      <c r="B68" s="73"/>
      <c r="C68" s="79" t="str">
        <f t="shared" si="0"/>
        <v/>
      </c>
      <c r="D68" s="80"/>
      <c r="E68" s="81" t="str" cm="1">
        <f t="array" ref="E68">_xlfn.IFS($E$6="First-Line Scenario",IFERROR(C68/C68*'Mortgage Calculator'!$G$25," "),$E$6="Recommendation",IFERROR(C68/C68*'Mortgage Calculator'!$U$28,""))</f>
        <v/>
      </c>
      <c r="F68" s="82" t="str">
        <f>IFERROR(C68/C68*H67*'Mortgage Calculator'!$C$13/12,"")</f>
        <v/>
      </c>
      <c r="G68" s="82" t="str">
        <f t="shared" si="1"/>
        <v/>
      </c>
      <c r="H68" s="100" t="str">
        <f t="shared" si="2"/>
        <v/>
      </c>
      <c r="I68" s="74"/>
      <c r="J68" s="88" t="str">
        <f t="shared" si="3"/>
        <v/>
      </c>
      <c r="K68" s="73"/>
    </row>
    <row r="69" spans="2:11" x14ac:dyDescent="0.3">
      <c r="B69" s="73"/>
      <c r="C69" s="79" t="str">
        <f t="shared" si="0"/>
        <v/>
      </c>
      <c r="D69" s="80"/>
      <c r="E69" s="81" t="str" cm="1">
        <f t="array" ref="E69">_xlfn.IFS($E$6="First-Line Scenario",IFERROR(C69/C69*'Mortgage Calculator'!$G$25," "),$E$6="Recommendation",IFERROR(C69/C69*'Mortgage Calculator'!$U$28,""))</f>
        <v/>
      </c>
      <c r="F69" s="82" t="str">
        <f>IFERROR(C69/C69*H68*'Mortgage Calculator'!$C$13/12,"")</f>
        <v/>
      </c>
      <c r="G69" s="82" t="str">
        <f t="shared" si="1"/>
        <v/>
      </c>
      <c r="H69" s="100" t="str">
        <f t="shared" si="2"/>
        <v/>
      </c>
      <c r="I69" s="74"/>
      <c r="J69" s="88" t="str">
        <f t="shared" si="3"/>
        <v/>
      </c>
      <c r="K69" s="73"/>
    </row>
    <row r="70" spans="2:11" x14ac:dyDescent="0.3">
      <c r="B70" s="73"/>
      <c r="C70" s="79" t="str">
        <f t="shared" si="0"/>
        <v/>
      </c>
      <c r="D70" s="80"/>
      <c r="E70" s="81" t="str" cm="1">
        <f t="array" ref="E70">_xlfn.IFS($E$6="First-Line Scenario",IFERROR(C70/C70*'Mortgage Calculator'!$G$25," "),$E$6="Recommendation",IFERROR(C70/C70*'Mortgage Calculator'!$U$28,""))</f>
        <v/>
      </c>
      <c r="F70" s="82" t="str">
        <f>IFERROR(C70/C70*H69*'Mortgage Calculator'!$C$13/12,"")</f>
        <v/>
      </c>
      <c r="G70" s="82" t="str">
        <f t="shared" si="1"/>
        <v/>
      </c>
      <c r="H70" s="100" t="str">
        <f t="shared" si="2"/>
        <v/>
      </c>
      <c r="I70" s="74"/>
      <c r="J70" s="88" t="str">
        <f t="shared" si="3"/>
        <v/>
      </c>
      <c r="K70" s="73"/>
    </row>
    <row r="71" spans="2:11" x14ac:dyDescent="0.3">
      <c r="B71" s="73"/>
      <c r="C71" s="79" t="str">
        <f t="shared" si="0"/>
        <v/>
      </c>
      <c r="D71" s="80"/>
      <c r="E71" s="81" t="str" cm="1">
        <f t="array" ref="E71">_xlfn.IFS($E$6="First-Line Scenario",IFERROR(C71/C71*'Mortgage Calculator'!$G$25," "),$E$6="Recommendation",IFERROR(C71/C71*'Mortgage Calculator'!$U$28,""))</f>
        <v/>
      </c>
      <c r="F71" s="82" t="str">
        <f>IFERROR(C71/C71*H70*'Mortgage Calculator'!$C$13/12,"")</f>
        <v/>
      </c>
      <c r="G71" s="82" t="str">
        <f t="shared" si="1"/>
        <v/>
      </c>
      <c r="H71" s="100" t="str">
        <f t="shared" si="2"/>
        <v/>
      </c>
      <c r="I71" s="74"/>
      <c r="J71" s="88" t="str">
        <f t="shared" si="3"/>
        <v/>
      </c>
      <c r="K71" s="73"/>
    </row>
    <row r="72" spans="2:11" x14ac:dyDescent="0.3">
      <c r="B72" s="73"/>
      <c r="C72" s="79" t="str">
        <f t="shared" si="0"/>
        <v/>
      </c>
      <c r="D72" s="80"/>
      <c r="E72" s="81" t="str" cm="1">
        <f t="array" ref="E72">_xlfn.IFS($E$6="First-Line Scenario",IFERROR(C72/C72*'Mortgage Calculator'!$G$25," "),$E$6="Recommendation",IFERROR(C72/C72*'Mortgage Calculator'!$U$28,""))</f>
        <v/>
      </c>
      <c r="F72" s="82" t="str">
        <f>IFERROR(C72/C72*H71*'Mortgage Calculator'!$C$13/12,"")</f>
        <v/>
      </c>
      <c r="G72" s="82" t="str">
        <f t="shared" si="1"/>
        <v/>
      </c>
      <c r="H72" s="100" t="str">
        <f t="shared" si="2"/>
        <v/>
      </c>
      <c r="I72" s="74"/>
      <c r="J72" s="88" t="str">
        <f t="shared" si="3"/>
        <v/>
      </c>
      <c r="K72" s="73"/>
    </row>
    <row r="73" spans="2:11" x14ac:dyDescent="0.3">
      <c r="B73" s="73"/>
      <c r="C73" s="79" t="str">
        <f t="shared" si="0"/>
        <v/>
      </c>
      <c r="D73" s="80"/>
      <c r="E73" s="81" t="str" cm="1">
        <f t="array" ref="E73">_xlfn.IFS($E$6="First-Line Scenario",IFERROR(C73/C73*'Mortgage Calculator'!$G$25," "),$E$6="Recommendation",IFERROR(C73/C73*'Mortgage Calculator'!$U$28,""))</f>
        <v/>
      </c>
      <c r="F73" s="82" t="str">
        <f>IFERROR(C73/C73*H72*'Mortgage Calculator'!$C$13/12,"")</f>
        <v/>
      </c>
      <c r="G73" s="82" t="str">
        <f t="shared" si="1"/>
        <v/>
      </c>
      <c r="H73" s="100" t="str">
        <f t="shared" si="2"/>
        <v/>
      </c>
      <c r="I73" s="74"/>
      <c r="J73" s="88" t="str">
        <f t="shared" si="3"/>
        <v/>
      </c>
      <c r="K73" s="73"/>
    </row>
    <row r="74" spans="2:11" x14ac:dyDescent="0.3">
      <c r="B74" s="73"/>
      <c r="C74" s="79" t="str">
        <f t="shared" si="0"/>
        <v/>
      </c>
      <c r="D74" s="80"/>
      <c r="E74" s="81" t="str" cm="1">
        <f t="array" ref="E74">_xlfn.IFS($E$6="First-Line Scenario",IFERROR(C74/C74*'Mortgage Calculator'!$G$25," "),$E$6="Recommendation",IFERROR(C74/C74*'Mortgage Calculator'!$U$28,""))</f>
        <v/>
      </c>
      <c r="F74" s="82" t="str">
        <f>IFERROR(C74/C74*H73*'Mortgage Calculator'!$C$13/12,"")</f>
        <v/>
      </c>
      <c r="G74" s="82" t="str">
        <f t="shared" si="1"/>
        <v/>
      </c>
      <c r="H74" s="100" t="str">
        <f t="shared" si="2"/>
        <v/>
      </c>
      <c r="I74" s="74"/>
      <c r="J74" s="88" t="str">
        <f t="shared" si="3"/>
        <v/>
      </c>
      <c r="K74" s="73"/>
    </row>
    <row r="75" spans="2:11" x14ac:dyDescent="0.3">
      <c r="B75" s="73"/>
      <c r="C75" s="79" t="str">
        <f t="shared" si="0"/>
        <v/>
      </c>
      <c r="D75" s="80"/>
      <c r="E75" s="81" t="str" cm="1">
        <f t="array" ref="E75">_xlfn.IFS($E$6="First-Line Scenario",IFERROR(C75/C75*'Mortgage Calculator'!$G$25," "),$E$6="Recommendation",IFERROR(C75/C75*'Mortgage Calculator'!$U$28,""))</f>
        <v/>
      </c>
      <c r="F75" s="82" t="str">
        <f>IFERROR(C75/C75*H74*'Mortgage Calculator'!$C$13/12,"")</f>
        <v/>
      </c>
      <c r="G75" s="82" t="str">
        <f t="shared" si="1"/>
        <v/>
      </c>
      <c r="H75" s="100" t="str">
        <f t="shared" si="2"/>
        <v/>
      </c>
      <c r="I75" s="74"/>
      <c r="J75" s="88" t="str">
        <f t="shared" si="3"/>
        <v/>
      </c>
      <c r="K75" s="73"/>
    </row>
    <row r="76" spans="2:11" x14ac:dyDescent="0.3">
      <c r="B76" s="73"/>
      <c r="C76" s="79" t="str">
        <f t="shared" si="0"/>
        <v/>
      </c>
      <c r="D76" s="80"/>
      <c r="E76" s="81" t="str" cm="1">
        <f t="array" ref="E76">_xlfn.IFS($E$6="First-Line Scenario",IFERROR(C76/C76*'Mortgage Calculator'!$G$25," "),$E$6="Recommendation",IFERROR(C76/C76*'Mortgage Calculator'!$U$28,""))</f>
        <v/>
      </c>
      <c r="F76" s="82" t="str">
        <f>IFERROR(C76/C76*H75*'Mortgage Calculator'!$C$13/12,"")</f>
        <v/>
      </c>
      <c r="G76" s="82" t="str">
        <f t="shared" si="1"/>
        <v/>
      </c>
      <c r="H76" s="100" t="str">
        <f t="shared" si="2"/>
        <v/>
      </c>
      <c r="I76" s="74"/>
      <c r="J76" s="88" t="str">
        <f t="shared" si="3"/>
        <v/>
      </c>
      <c r="K76" s="73"/>
    </row>
    <row r="77" spans="2:11" x14ac:dyDescent="0.3">
      <c r="B77" s="73"/>
      <c r="C77" s="79" t="str">
        <f t="shared" ref="C77:C140" si="4">IF(D77="","",ROW()-11)</f>
        <v/>
      </c>
      <c r="D77" s="80"/>
      <c r="E77" s="81" t="str" cm="1">
        <f t="array" ref="E77">_xlfn.IFS($E$6="First-Line Scenario",IFERROR(C77/C77*'Mortgage Calculator'!$G$25," "),$E$6="Recommendation",IFERROR(C77/C77*'Mortgage Calculator'!$U$28,""))</f>
        <v/>
      </c>
      <c r="F77" s="82" t="str">
        <f>IFERROR(C77/C77*H76*'Mortgage Calculator'!$C$13/12,"")</f>
        <v/>
      </c>
      <c r="G77" s="82" t="str">
        <f t="shared" ref="G77:G140" si="5">IFERROR(E77-F77,"")</f>
        <v/>
      </c>
      <c r="H77" s="100" t="str">
        <f t="shared" ref="H77:H140" si="6">IFERROR(H76-G77,"")</f>
        <v/>
      </c>
      <c r="I77" s="74"/>
      <c r="J77" s="88" t="str">
        <f t="shared" ref="J77:J140" si="7">IFERROR(J76+F77,"")</f>
        <v/>
      </c>
      <c r="K77" s="73"/>
    </row>
    <row r="78" spans="2:11" x14ac:dyDescent="0.3">
      <c r="B78" s="73"/>
      <c r="C78" s="79" t="str">
        <f t="shared" si="4"/>
        <v/>
      </c>
      <c r="D78" s="80"/>
      <c r="E78" s="81" t="str" cm="1">
        <f t="array" ref="E78">_xlfn.IFS($E$6="First-Line Scenario",IFERROR(C78/C78*'Mortgage Calculator'!$G$25," "),$E$6="Recommendation",IFERROR(C78/C78*'Mortgage Calculator'!$U$28,""))</f>
        <v/>
      </c>
      <c r="F78" s="82" t="str">
        <f>IFERROR(C78/C78*H77*'Mortgage Calculator'!$C$13/12,"")</f>
        <v/>
      </c>
      <c r="G78" s="82" t="str">
        <f t="shared" si="5"/>
        <v/>
      </c>
      <c r="H78" s="100" t="str">
        <f t="shared" si="6"/>
        <v/>
      </c>
      <c r="I78" s="74"/>
      <c r="J78" s="88" t="str">
        <f t="shared" si="7"/>
        <v/>
      </c>
      <c r="K78" s="73"/>
    </row>
    <row r="79" spans="2:11" x14ac:dyDescent="0.3">
      <c r="B79" s="73"/>
      <c r="C79" s="79" t="str">
        <f t="shared" si="4"/>
        <v/>
      </c>
      <c r="D79" s="80"/>
      <c r="E79" s="81" t="str" cm="1">
        <f t="array" ref="E79">_xlfn.IFS($E$6="First-Line Scenario",IFERROR(C79/C79*'Mortgage Calculator'!$G$25," "),$E$6="Recommendation",IFERROR(C79/C79*'Mortgage Calculator'!$U$28,""))</f>
        <v/>
      </c>
      <c r="F79" s="82" t="str">
        <f>IFERROR(C79/C79*H78*'Mortgage Calculator'!$C$13/12,"")</f>
        <v/>
      </c>
      <c r="G79" s="82" t="str">
        <f t="shared" si="5"/>
        <v/>
      </c>
      <c r="H79" s="100" t="str">
        <f t="shared" si="6"/>
        <v/>
      </c>
      <c r="I79" s="74"/>
      <c r="J79" s="88" t="str">
        <f t="shared" si="7"/>
        <v/>
      </c>
      <c r="K79" s="73"/>
    </row>
    <row r="80" spans="2:11" x14ac:dyDescent="0.3">
      <c r="B80" s="73"/>
      <c r="C80" s="79" t="str">
        <f t="shared" si="4"/>
        <v/>
      </c>
      <c r="D80" s="80"/>
      <c r="E80" s="81" t="str" cm="1">
        <f t="array" ref="E80">_xlfn.IFS($E$6="First-Line Scenario",IFERROR(C80/C80*'Mortgage Calculator'!$G$25," "),$E$6="Recommendation",IFERROR(C80/C80*'Mortgage Calculator'!$U$28,""))</f>
        <v/>
      </c>
      <c r="F80" s="82" t="str">
        <f>IFERROR(C80/C80*H79*'Mortgage Calculator'!$C$13/12,"")</f>
        <v/>
      </c>
      <c r="G80" s="82" t="str">
        <f t="shared" si="5"/>
        <v/>
      </c>
      <c r="H80" s="100" t="str">
        <f t="shared" si="6"/>
        <v/>
      </c>
      <c r="I80" s="74"/>
      <c r="J80" s="88" t="str">
        <f t="shared" si="7"/>
        <v/>
      </c>
      <c r="K80" s="73"/>
    </row>
    <row r="81" spans="2:11" x14ac:dyDescent="0.3">
      <c r="B81" s="73"/>
      <c r="C81" s="79" t="str">
        <f t="shared" si="4"/>
        <v/>
      </c>
      <c r="D81" s="80"/>
      <c r="E81" s="81" t="str" cm="1">
        <f t="array" ref="E81">_xlfn.IFS($E$6="First-Line Scenario",IFERROR(C81/C81*'Mortgage Calculator'!$G$25," "),$E$6="Recommendation",IFERROR(C81/C81*'Mortgage Calculator'!$U$28,""))</f>
        <v/>
      </c>
      <c r="F81" s="82" t="str">
        <f>IFERROR(C81/C81*H80*'Mortgage Calculator'!$C$13/12,"")</f>
        <v/>
      </c>
      <c r="G81" s="82" t="str">
        <f t="shared" si="5"/>
        <v/>
      </c>
      <c r="H81" s="100" t="str">
        <f t="shared" si="6"/>
        <v/>
      </c>
      <c r="I81" s="74"/>
      <c r="J81" s="88" t="str">
        <f t="shared" si="7"/>
        <v/>
      </c>
      <c r="K81" s="73"/>
    </row>
    <row r="82" spans="2:11" x14ac:dyDescent="0.3">
      <c r="B82" s="73"/>
      <c r="C82" s="79" t="str">
        <f t="shared" si="4"/>
        <v/>
      </c>
      <c r="D82" s="80"/>
      <c r="E82" s="81" t="str" cm="1">
        <f t="array" ref="E82">_xlfn.IFS($E$6="First-Line Scenario",IFERROR(C82/C82*'Mortgage Calculator'!$G$25," "),$E$6="Recommendation",IFERROR(C82/C82*'Mortgage Calculator'!$U$28,""))</f>
        <v/>
      </c>
      <c r="F82" s="82" t="str">
        <f>IFERROR(C82/C82*H81*'Mortgage Calculator'!$C$13/12,"")</f>
        <v/>
      </c>
      <c r="G82" s="82" t="str">
        <f t="shared" si="5"/>
        <v/>
      </c>
      <c r="H82" s="100" t="str">
        <f t="shared" si="6"/>
        <v/>
      </c>
      <c r="I82" s="74"/>
      <c r="J82" s="88" t="str">
        <f t="shared" si="7"/>
        <v/>
      </c>
      <c r="K82" s="73"/>
    </row>
    <row r="83" spans="2:11" x14ac:dyDescent="0.3">
      <c r="B83" s="73"/>
      <c r="C83" s="79" t="str">
        <f t="shared" si="4"/>
        <v/>
      </c>
      <c r="D83" s="80"/>
      <c r="E83" s="81" t="str" cm="1">
        <f t="array" ref="E83">_xlfn.IFS($E$6="First-Line Scenario",IFERROR(C83/C83*'Mortgage Calculator'!$G$25," "),$E$6="Recommendation",IFERROR(C83/C83*'Mortgage Calculator'!$U$28,""))</f>
        <v/>
      </c>
      <c r="F83" s="82" t="str">
        <f>IFERROR(C83/C83*H82*'Mortgage Calculator'!$C$13/12,"")</f>
        <v/>
      </c>
      <c r="G83" s="82" t="str">
        <f t="shared" si="5"/>
        <v/>
      </c>
      <c r="H83" s="100" t="str">
        <f t="shared" si="6"/>
        <v/>
      </c>
      <c r="I83" s="74"/>
      <c r="J83" s="88" t="str">
        <f t="shared" si="7"/>
        <v/>
      </c>
      <c r="K83" s="73"/>
    </row>
    <row r="84" spans="2:11" x14ac:dyDescent="0.3">
      <c r="B84" s="73"/>
      <c r="C84" s="79" t="str">
        <f t="shared" si="4"/>
        <v/>
      </c>
      <c r="D84" s="80"/>
      <c r="E84" s="81" t="str" cm="1">
        <f t="array" ref="E84">_xlfn.IFS($E$6="First-Line Scenario",IFERROR(C84/C84*'Mortgage Calculator'!$G$25," "),$E$6="Recommendation",IFERROR(C84/C84*'Mortgage Calculator'!$U$28,""))</f>
        <v/>
      </c>
      <c r="F84" s="82" t="str">
        <f>IFERROR(C84/C84*H83*'Mortgage Calculator'!$C$13/12,"")</f>
        <v/>
      </c>
      <c r="G84" s="82" t="str">
        <f t="shared" si="5"/>
        <v/>
      </c>
      <c r="H84" s="100" t="str">
        <f t="shared" si="6"/>
        <v/>
      </c>
      <c r="I84" s="74"/>
      <c r="J84" s="88" t="str">
        <f t="shared" si="7"/>
        <v/>
      </c>
      <c r="K84" s="73"/>
    </row>
    <row r="85" spans="2:11" x14ac:dyDescent="0.3">
      <c r="B85" s="73"/>
      <c r="C85" s="79" t="str">
        <f t="shared" si="4"/>
        <v/>
      </c>
      <c r="D85" s="80"/>
      <c r="E85" s="81" t="str" cm="1">
        <f t="array" ref="E85">_xlfn.IFS($E$6="First-Line Scenario",IFERROR(C85/C85*'Mortgage Calculator'!$G$25," "),$E$6="Recommendation",IFERROR(C85/C85*'Mortgage Calculator'!$U$28,""))</f>
        <v/>
      </c>
      <c r="F85" s="82" t="str">
        <f>IFERROR(C85/C85*H84*'Mortgage Calculator'!$C$13/12,"")</f>
        <v/>
      </c>
      <c r="G85" s="82" t="str">
        <f t="shared" si="5"/>
        <v/>
      </c>
      <c r="H85" s="100" t="str">
        <f t="shared" si="6"/>
        <v/>
      </c>
      <c r="I85" s="74"/>
      <c r="J85" s="88" t="str">
        <f t="shared" si="7"/>
        <v/>
      </c>
      <c r="K85" s="73"/>
    </row>
    <row r="86" spans="2:11" x14ac:dyDescent="0.3">
      <c r="B86" s="73"/>
      <c r="C86" s="79" t="str">
        <f t="shared" si="4"/>
        <v/>
      </c>
      <c r="D86" s="80"/>
      <c r="E86" s="81" t="str" cm="1">
        <f t="array" ref="E86">_xlfn.IFS($E$6="First-Line Scenario",IFERROR(C86/C86*'Mortgage Calculator'!$G$25," "),$E$6="Recommendation",IFERROR(C86/C86*'Mortgage Calculator'!$U$28,""))</f>
        <v/>
      </c>
      <c r="F86" s="82" t="str">
        <f>IFERROR(C86/C86*H85*'Mortgage Calculator'!$C$13/12,"")</f>
        <v/>
      </c>
      <c r="G86" s="82" t="str">
        <f t="shared" si="5"/>
        <v/>
      </c>
      <c r="H86" s="100" t="str">
        <f t="shared" si="6"/>
        <v/>
      </c>
      <c r="I86" s="74"/>
      <c r="J86" s="88" t="str">
        <f t="shared" si="7"/>
        <v/>
      </c>
      <c r="K86" s="73"/>
    </row>
    <row r="87" spans="2:11" x14ac:dyDescent="0.3">
      <c r="B87" s="73"/>
      <c r="C87" s="79" t="str">
        <f t="shared" si="4"/>
        <v/>
      </c>
      <c r="D87" s="80"/>
      <c r="E87" s="81" t="str" cm="1">
        <f t="array" ref="E87">_xlfn.IFS($E$6="First-Line Scenario",IFERROR(C87/C87*'Mortgage Calculator'!$G$25," "),$E$6="Recommendation",IFERROR(C87/C87*'Mortgage Calculator'!$U$28,""))</f>
        <v/>
      </c>
      <c r="F87" s="82" t="str">
        <f>IFERROR(C87/C87*H86*'Mortgage Calculator'!$C$13/12,"")</f>
        <v/>
      </c>
      <c r="G87" s="82" t="str">
        <f t="shared" si="5"/>
        <v/>
      </c>
      <c r="H87" s="100" t="str">
        <f t="shared" si="6"/>
        <v/>
      </c>
      <c r="I87" s="74"/>
      <c r="J87" s="88" t="str">
        <f t="shared" si="7"/>
        <v/>
      </c>
      <c r="K87" s="73"/>
    </row>
    <row r="88" spans="2:11" x14ac:dyDescent="0.3">
      <c r="B88" s="73"/>
      <c r="C88" s="79" t="str">
        <f t="shared" si="4"/>
        <v/>
      </c>
      <c r="D88" s="80"/>
      <c r="E88" s="81" t="str" cm="1">
        <f t="array" ref="E88">_xlfn.IFS($E$6="First-Line Scenario",IFERROR(C88/C88*'Mortgage Calculator'!$G$25," "),$E$6="Recommendation",IFERROR(C88/C88*'Mortgage Calculator'!$U$28,""))</f>
        <v/>
      </c>
      <c r="F88" s="82" t="str">
        <f>IFERROR(C88/C88*H87*'Mortgage Calculator'!$C$13/12,"")</f>
        <v/>
      </c>
      <c r="G88" s="82" t="str">
        <f t="shared" si="5"/>
        <v/>
      </c>
      <c r="H88" s="100" t="str">
        <f t="shared" si="6"/>
        <v/>
      </c>
      <c r="I88" s="74"/>
      <c r="J88" s="88" t="str">
        <f t="shared" si="7"/>
        <v/>
      </c>
      <c r="K88" s="73"/>
    </row>
    <row r="89" spans="2:11" x14ac:dyDescent="0.3">
      <c r="B89" s="73"/>
      <c r="C89" s="79" t="str">
        <f t="shared" si="4"/>
        <v/>
      </c>
      <c r="D89" s="80"/>
      <c r="E89" s="81" t="str" cm="1">
        <f t="array" ref="E89">_xlfn.IFS($E$6="First-Line Scenario",IFERROR(C89/C89*'Mortgage Calculator'!$G$25," "),$E$6="Recommendation",IFERROR(C89/C89*'Mortgage Calculator'!$U$28,""))</f>
        <v/>
      </c>
      <c r="F89" s="82" t="str">
        <f>IFERROR(C89/C89*H88*'Mortgage Calculator'!$C$13/12,"")</f>
        <v/>
      </c>
      <c r="G89" s="82" t="str">
        <f t="shared" si="5"/>
        <v/>
      </c>
      <c r="H89" s="100" t="str">
        <f t="shared" si="6"/>
        <v/>
      </c>
      <c r="I89" s="74"/>
      <c r="J89" s="88" t="str">
        <f t="shared" si="7"/>
        <v/>
      </c>
      <c r="K89" s="73"/>
    </row>
    <row r="90" spans="2:11" x14ac:dyDescent="0.3">
      <c r="B90" s="73"/>
      <c r="C90" s="79" t="str">
        <f t="shared" si="4"/>
        <v/>
      </c>
      <c r="D90" s="80"/>
      <c r="E90" s="81" t="str" cm="1">
        <f t="array" ref="E90">_xlfn.IFS($E$6="First-Line Scenario",IFERROR(C90/C90*'Mortgage Calculator'!$G$25," "),$E$6="Recommendation",IFERROR(C90/C90*'Mortgage Calculator'!$U$28,""))</f>
        <v/>
      </c>
      <c r="F90" s="82" t="str">
        <f>IFERROR(C90/C90*H89*'Mortgage Calculator'!$C$13/12,"")</f>
        <v/>
      </c>
      <c r="G90" s="82" t="str">
        <f t="shared" si="5"/>
        <v/>
      </c>
      <c r="H90" s="100" t="str">
        <f t="shared" si="6"/>
        <v/>
      </c>
      <c r="I90" s="74"/>
      <c r="J90" s="88" t="str">
        <f t="shared" si="7"/>
        <v/>
      </c>
      <c r="K90" s="73"/>
    </row>
    <row r="91" spans="2:11" x14ac:dyDescent="0.3">
      <c r="B91" s="73"/>
      <c r="C91" s="79" t="str">
        <f t="shared" si="4"/>
        <v/>
      </c>
      <c r="D91" s="80"/>
      <c r="E91" s="81" t="str" cm="1">
        <f t="array" ref="E91">_xlfn.IFS($E$6="First-Line Scenario",IFERROR(C91/C91*'Mortgage Calculator'!$G$25," "),$E$6="Recommendation",IFERROR(C91/C91*'Mortgage Calculator'!$U$28,""))</f>
        <v/>
      </c>
      <c r="F91" s="82" t="str">
        <f>IFERROR(C91/C91*H90*'Mortgage Calculator'!$C$13/12,"")</f>
        <v/>
      </c>
      <c r="G91" s="82" t="str">
        <f t="shared" si="5"/>
        <v/>
      </c>
      <c r="H91" s="100" t="str">
        <f t="shared" si="6"/>
        <v/>
      </c>
      <c r="I91" s="74"/>
      <c r="J91" s="88" t="str">
        <f t="shared" si="7"/>
        <v/>
      </c>
      <c r="K91" s="73"/>
    </row>
    <row r="92" spans="2:11" x14ac:dyDescent="0.3">
      <c r="B92" s="73"/>
      <c r="C92" s="79" t="str">
        <f t="shared" si="4"/>
        <v/>
      </c>
      <c r="D92" s="80"/>
      <c r="E92" s="81" t="str" cm="1">
        <f t="array" ref="E92">_xlfn.IFS($E$6="First-Line Scenario",IFERROR(C92/C92*'Mortgage Calculator'!$G$25," "),$E$6="Recommendation",IFERROR(C92/C92*'Mortgage Calculator'!$U$28,""))</f>
        <v/>
      </c>
      <c r="F92" s="82" t="str">
        <f>IFERROR(C92/C92*H91*'Mortgage Calculator'!$C$13/12,"")</f>
        <v/>
      </c>
      <c r="G92" s="82" t="str">
        <f t="shared" si="5"/>
        <v/>
      </c>
      <c r="H92" s="100" t="str">
        <f t="shared" si="6"/>
        <v/>
      </c>
      <c r="I92" s="74"/>
      <c r="J92" s="88" t="str">
        <f t="shared" si="7"/>
        <v/>
      </c>
      <c r="K92" s="73"/>
    </row>
    <row r="93" spans="2:11" x14ac:dyDescent="0.3">
      <c r="B93" s="73"/>
      <c r="C93" s="79" t="str">
        <f t="shared" si="4"/>
        <v/>
      </c>
      <c r="D93" s="80"/>
      <c r="E93" s="81" t="str" cm="1">
        <f t="array" ref="E93">_xlfn.IFS($E$6="First-Line Scenario",IFERROR(C93/C93*'Mortgage Calculator'!$G$25," "),$E$6="Recommendation",IFERROR(C93/C93*'Mortgage Calculator'!$U$28,""))</f>
        <v/>
      </c>
      <c r="F93" s="82" t="str">
        <f>IFERROR(C93/C93*H92*'Mortgage Calculator'!$C$13/12,"")</f>
        <v/>
      </c>
      <c r="G93" s="82" t="str">
        <f t="shared" si="5"/>
        <v/>
      </c>
      <c r="H93" s="100" t="str">
        <f t="shared" si="6"/>
        <v/>
      </c>
      <c r="I93" s="74"/>
      <c r="J93" s="88" t="str">
        <f t="shared" si="7"/>
        <v/>
      </c>
      <c r="K93" s="73"/>
    </row>
    <row r="94" spans="2:11" x14ac:dyDescent="0.3">
      <c r="B94" s="73"/>
      <c r="C94" s="79" t="str">
        <f t="shared" si="4"/>
        <v/>
      </c>
      <c r="D94" s="80"/>
      <c r="E94" s="81" t="str" cm="1">
        <f t="array" ref="E94">_xlfn.IFS($E$6="First-Line Scenario",IFERROR(C94/C94*'Mortgage Calculator'!$G$25," "),$E$6="Recommendation",IFERROR(C94/C94*'Mortgage Calculator'!$U$28,""))</f>
        <v/>
      </c>
      <c r="F94" s="82" t="str">
        <f>IFERROR(C94/C94*H93*'Mortgage Calculator'!$C$13/12,"")</f>
        <v/>
      </c>
      <c r="G94" s="82" t="str">
        <f t="shared" si="5"/>
        <v/>
      </c>
      <c r="H94" s="100" t="str">
        <f t="shared" si="6"/>
        <v/>
      </c>
      <c r="I94" s="74"/>
      <c r="J94" s="88" t="str">
        <f t="shared" si="7"/>
        <v/>
      </c>
      <c r="K94" s="73"/>
    </row>
    <row r="95" spans="2:11" x14ac:dyDescent="0.3">
      <c r="B95" s="73"/>
      <c r="C95" s="79" t="str">
        <f t="shared" si="4"/>
        <v/>
      </c>
      <c r="D95" s="80"/>
      <c r="E95" s="81" t="str" cm="1">
        <f t="array" ref="E95">_xlfn.IFS($E$6="First-Line Scenario",IFERROR(C95/C95*'Mortgage Calculator'!$G$25," "),$E$6="Recommendation",IFERROR(C95/C95*'Mortgage Calculator'!$U$28,""))</f>
        <v/>
      </c>
      <c r="F95" s="82" t="str">
        <f>IFERROR(C95/C95*H94*'Mortgage Calculator'!$C$13/12,"")</f>
        <v/>
      </c>
      <c r="G95" s="82" t="str">
        <f t="shared" si="5"/>
        <v/>
      </c>
      <c r="H95" s="100" t="str">
        <f t="shared" si="6"/>
        <v/>
      </c>
      <c r="I95" s="74"/>
      <c r="J95" s="88" t="str">
        <f t="shared" si="7"/>
        <v/>
      </c>
      <c r="K95" s="73"/>
    </row>
    <row r="96" spans="2:11" x14ac:dyDescent="0.3">
      <c r="B96" s="73"/>
      <c r="C96" s="79" t="str">
        <f t="shared" si="4"/>
        <v/>
      </c>
      <c r="D96" s="80"/>
      <c r="E96" s="81" t="str" cm="1">
        <f t="array" ref="E96">_xlfn.IFS($E$6="First-Line Scenario",IFERROR(C96/C96*'Mortgage Calculator'!$G$25," "),$E$6="Recommendation",IFERROR(C96/C96*'Mortgage Calculator'!$U$28,""))</f>
        <v/>
      </c>
      <c r="F96" s="82" t="str">
        <f>IFERROR(C96/C96*H95*'Mortgage Calculator'!$C$13/12,"")</f>
        <v/>
      </c>
      <c r="G96" s="82" t="str">
        <f t="shared" si="5"/>
        <v/>
      </c>
      <c r="H96" s="100" t="str">
        <f t="shared" si="6"/>
        <v/>
      </c>
      <c r="I96" s="74"/>
      <c r="J96" s="88" t="str">
        <f t="shared" si="7"/>
        <v/>
      </c>
      <c r="K96" s="73"/>
    </row>
    <row r="97" spans="2:11" x14ac:dyDescent="0.3">
      <c r="B97" s="73"/>
      <c r="C97" s="79" t="str">
        <f t="shared" si="4"/>
        <v/>
      </c>
      <c r="D97" s="80"/>
      <c r="E97" s="81" t="str" cm="1">
        <f t="array" ref="E97">_xlfn.IFS($E$6="First-Line Scenario",IFERROR(C97/C97*'Mortgage Calculator'!$G$25," "),$E$6="Recommendation",IFERROR(C97/C97*'Mortgage Calculator'!$U$28,""))</f>
        <v/>
      </c>
      <c r="F97" s="82" t="str">
        <f>IFERROR(C97/C97*H96*'Mortgage Calculator'!$C$13/12,"")</f>
        <v/>
      </c>
      <c r="G97" s="82" t="str">
        <f t="shared" si="5"/>
        <v/>
      </c>
      <c r="H97" s="100" t="str">
        <f t="shared" si="6"/>
        <v/>
      </c>
      <c r="I97" s="74"/>
      <c r="J97" s="88" t="str">
        <f t="shared" si="7"/>
        <v/>
      </c>
      <c r="K97" s="73"/>
    </row>
    <row r="98" spans="2:11" x14ac:dyDescent="0.3">
      <c r="B98" s="73"/>
      <c r="C98" s="79" t="str">
        <f t="shared" si="4"/>
        <v/>
      </c>
      <c r="D98" s="80"/>
      <c r="E98" s="81" t="str" cm="1">
        <f t="array" ref="E98">_xlfn.IFS($E$6="First-Line Scenario",IFERROR(C98/C98*'Mortgage Calculator'!$G$25," "),$E$6="Recommendation",IFERROR(C98/C98*'Mortgage Calculator'!$U$28,""))</f>
        <v/>
      </c>
      <c r="F98" s="82" t="str">
        <f>IFERROR(C98/C98*H97*'Mortgage Calculator'!$C$13/12,"")</f>
        <v/>
      </c>
      <c r="G98" s="82" t="str">
        <f t="shared" si="5"/>
        <v/>
      </c>
      <c r="H98" s="100" t="str">
        <f t="shared" si="6"/>
        <v/>
      </c>
      <c r="I98" s="74"/>
      <c r="J98" s="88" t="str">
        <f t="shared" si="7"/>
        <v/>
      </c>
      <c r="K98" s="73"/>
    </row>
    <row r="99" spans="2:11" x14ac:dyDescent="0.3">
      <c r="B99" s="73"/>
      <c r="C99" s="79" t="str">
        <f t="shared" si="4"/>
        <v/>
      </c>
      <c r="D99" s="80"/>
      <c r="E99" s="81" t="str" cm="1">
        <f t="array" ref="E99">_xlfn.IFS($E$6="First-Line Scenario",IFERROR(C99/C99*'Mortgage Calculator'!$G$25," "),$E$6="Recommendation",IFERROR(C99/C99*'Mortgage Calculator'!$U$28,""))</f>
        <v/>
      </c>
      <c r="F99" s="82" t="str">
        <f>IFERROR(C99/C99*H98*'Mortgage Calculator'!$C$13/12,"")</f>
        <v/>
      </c>
      <c r="G99" s="82" t="str">
        <f t="shared" si="5"/>
        <v/>
      </c>
      <c r="H99" s="100" t="str">
        <f t="shared" si="6"/>
        <v/>
      </c>
      <c r="I99" s="74"/>
      <c r="J99" s="88" t="str">
        <f t="shared" si="7"/>
        <v/>
      </c>
      <c r="K99" s="73"/>
    </row>
    <row r="100" spans="2:11" x14ac:dyDescent="0.3">
      <c r="B100" s="73"/>
      <c r="C100" s="79" t="str">
        <f t="shared" si="4"/>
        <v/>
      </c>
      <c r="D100" s="80"/>
      <c r="E100" s="81" t="str" cm="1">
        <f t="array" ref="E100">_xlfn.IFS($E$6="First-Line Scenario",IFERROR(C100/C100*'Mortgage Calculator'!$G$25," "),$E$6="Recommendation",IFERROR(C100/C100*'Mortgage Calculator'!$U$28,""))</f>
        <v/>
      </c>
      <c r="F100" s="82" t="str">
        <f>IFERROR(C100/C100*H99*'Mortgage Calculator'!$C$13/12,"")</f>
        <v/>
      </c>
      <c r="G100" s="82" t="str">
        <f t="shared" si="5"/>
        <v/>
      </c>
      <c r="H100" s="100" t="str">
        <f t="shared" si="6"/>
        <v/>
      </c>
      <c r="I100" s="74"/>
      <c r="J100" s="88" t="str">
        <f t="shared" si="7"/>
        <v/>
      </c>
      <c r="K100" s="73"/>
    </row>
    <row r="101" spans="2:11" x14ac:dyDescent="0.3">
      <c r="B101" s="73"/>
      <c r="C101" s="79" t="str">
        <f t="shared" si="4"/>
        <v/>
      </c>
      <c r="D101" s="80"/>
      <c r="E101" s="81" t="str" cm="1">
        <f t="array" ref="E101">_xlfn.IFS($E$6="First-Line Scenario",IFERROR(C101/C101*'Mortgage Calculator'!$G$25," "),$E$6="Recommendation",IFERROR(C101/C101*'Mortgage Calculator'!$U$28,""))</f>
        <v/>
      </c>
      <c r="F101" s="82" t="str">
        <f>IFERROR(C101/C101*H100*'Mortgage Calculator'!$C$13/12,"")</f>
        <v/>
      </c>
      <c r="G101" s="82" t="str">
        <f t="shared" si="5"/>
        <v/>
      </c>
      <c r="H101" s="100" t="str">
        <f t="shared" si="6"/>
        <v/>
      </c>
      <c r="I101" s="74"/>
      <c r="J101" s="88" t="str">
        <f t="shared" si="7"/>
        <v/>
      </c>
      <c r="K101" s="73"/>
    </row>
    <row r="102" spans="2:11" x14ac:dyDescent="0.3">
      <c r="B102" s="73"/>
      <c r="C102" s="79" t="str">
        <f t="shared" si="4"/>
        <v/>
      </c>
      <c r="D102" s="80"/>
      <c r="E102" s="81" t="str" cm="1">
        <f t="array" ref="E102">_xlfn.IFS($E$6="First-Line Scenario",IFERROR(C102/C102*'Mortgage Calculator'!$G$25," "),$E$6="Recommendation",IFERROR(C102/C102*'Mortgage Calculator'!$U$28,""))</f>
        <v/>
      </c>
      <c r="F102" s="82" t="str">
        <f>IFERROR(C102/C102*H101*'Mortgage Calculator'!$C$13/12,"")</f>
        <v/>
      </c>
      <c r="G102" s="82" t="str">
        <f t="shared" si="5"/>
        <v/>
      </c>
      <c r="H102" s="100" t="str">
        <f t="shared" si="6"/>
        <v/>
      </c>
      <c r="I102" s="74"/>
      <c r="J102" s="88" t="str">
        <f t="shared" si="7"/>
        <v/>
      </c>
      <c r="K102" s="73"/>
    </row>
    <row r="103" spans="2:11" x14ac:dyDescent="0.3">
      <c r="B103" s="73"/>
      <c r="C103" s="79" t="str">
        <f t="shared" si="4"/>
        <v/>
      </c>
      <c r="D103" s="80"/>
      <c r="E103" s="81" t="str" cm="1">
        <f t="array" ref="E103">_xlfn.IFS($E$6="First-Line Scenario",IFERROR(C103/C103*'Mortgage Calculator'!$G$25," "),$E$6="Recommendation",IFERROR(C103/C103*'Mortgage Calculator'!$U$28,""))</f>
        <v/>
      </c>
      <c r="F103" s="82" t="str">
        <f>IFERROR(C103/C103*H102*'Mortgage Calculator'!$C$13/12,"")</f>
        <v/>
      </c>
      <c r="G103" s="82" t="str">
        <f t="shared" si="5"/>
        <v/>
      </c>
      <c r="H103" s="100" t="str">
        <f t="shared" si="6"/>
        <v/>
      </c>
      <c r="I103" s="74"/>
      <c r="J103" s="88" t="str">
        <f t="shared" si="7"/>
        <v/>
      </c>
      <c r="K103" s="73"/>
    </row>
    <row r="104" spans="2:11" x14ac:dyDescent="0.3">
      <c r="B104" s="73"/>
      <c r="C104" s="79" t="str">
        <f t="shared" si="4"/>
        <v/>
      </c>
      <c r="D104" s="80"/>
      <c r="E104" s="81" t="str" cm="1">
        <f t="array" ref="E104">_xlfn.IFS($E$6="First-Line Scenario",IFERROR(C104/C104*'Mortgage Calculator'!$G$25," "),$E$6="Recommendation",IFERROR(C104/C104*'Mortgage Calculator'!$U$28,""))</f>
        <v/>
      </c>
      <c r="F104" s="82" t="str">
        <f>IFERROR(C104/C104*H103*'Mortgage Calculator'!$C$13/12,"")</f>
        <v/>
      </c>
      <c r="G104" s="82" t="str">
        <f t="shared" si="5"/>
        <v/>
      </c>
      <c r="H104" s="100" t="str">
        <f t="shared" si="6"/>
        <v/>
      </c>
      <c r="I104" s="74"/>
      <c r="J104" s="88" t="str">
        <f t="shared" si="7"/>
        <v/>
      </c>
      <c r="K104" s="73"/>
    </row>
    <row r="105" spans="2:11" x14ac:dyDescent="0.3">
      <c r="B105" s="73"/>
      <c r="C105" s="79" t="str">
        <f t="shared" si="4"/>
        <v/>
      </c>
      <c r="D105" s="80"/>
      <c r="E105" s="81" t="str" cm="1">
        <f t="array" ref="E105">_xlfn.IFS($E$6="First-Line Scenario",IFERROR(C105/C105*'Mortgage Calculator'!$G$25," "),$E$6="Recommendation",IFERROR(C105/C105*'Mortgage Calculator'!$U$28,""))</f>
        <v/>
      </c>
      <c r="F105" s="82" t="str">
        <f>IFERROR(C105/C105*H104*'Mortgage Calculator'!$C$13/12,"")</f>
        <v/>
      </c>
      <c r="G105" s="82" t="str">
        <f t="shared" si="5"/>
        <v/>
      </c>
      <c r="H105" s="100" t="str">
        <f t="shared" si="6"/>
        <v/>
      </c>
      <c r="I105" s="74"/>
      <c r="J105" s="88" t="str">
        <f t="shared" si="7"/>
        <v/>
      </c>
      <c r="K105" s="73"/>
    </row>
    <row r="106" spans="2:11" x14ac:dyDescent="0.3">
      <c r="B106" s="73"/>
      <c r="C106" s="79" t="str">
        <f t="shared" si="4"/>
        <v/>
      </c>
      <c r="D106" s="80"/>
      <c r="E106" s="81" t="str" cm="1">
        <f t="array" ref="E106">_xlfn.IFS($E$6="First-Line Scenario",IFERROR(C106/C106*'Mortgage Calculator'!$G$25," "),$E$6="Recommendation",IFERROR(C106/C106*'Mortgage Calculator'!$U$28,""))</f>
        <v/>
      </c>
      <c r="F106" s="82" t="str">
        <f>IFERROR(C106/C106*H105*'Mortgage Calculator'!$C$13/12,"")</f>
        <v/>
      </c>
      <c r="G106" s="82" t="str">
        <f t="shared" si="5"/>
        <v/>
      </c>
      <c r="H106" s="100" t="str">
        <f t="shared" si="6"/>
        <v/>
      </c>
      <c r="I106" s="74"/>
      <c r="J106" s="88" t="str">
        <f t="shared" si="7"/>
        <v/>
      </c>
      <c r="K106" s="73"/>
    </row>
    <row r="107" spans="2:11" x14ac:dyDescent="0.3">
      <c r="B107" s="73"/>
      <c r="C107" s="79" t="str">
        <f t="shared" si="4"/>
        <v/>
      </c>
      <c r="D107" s="80"/>
      <c r="E107" s="81" t="str" cm="1">
        <f t="array" ref="E107">_xlfn.IFS($E$6="First-Line Scenario",IFERROR(C107/C107*'Mortgage Calculator'!$G$25," "),$E$6="Recommendation",IFERROR(C107/C107*'Mortgage Calculator'!$U$28,""))</f>
        <v/>
      </c>
      <c r="F107" s="82" t="str">
        <f>IFERROR(C107/C107*H106*'Mortgage Calculator'!$C$13/12,"")</f>
        <v/>
      </c>
      <c r="G107" s="82" t="str">
        <f t="shared" si="5"/>
        <v/>
      </c>
      <c r="H107" s="100" t="str">
        <f t="shared" si="6"/>
        <v/>
      </c>
      <c r="I107" s="74"/>
      <c r="J107" s="88" t="str">
        <f t="shared" si="7"/>
        <v/>
      </c>
      <c r="K107" s="73"/>
    </row>
    <row r="108" spans="2:11" x14ac:dyDescent="0.3">
      <c r="B108" s="73"/>
      <c r="C108" s="79" t="str">
        <f t="shared" si="4"/>
        <v/>
      </c>
      <c r="D108" s="80"/>
      <c r="E108" s="81" t="str" cm="1">
        <f t="array" ref="E108">_xlfn.IFS($E$6="First-Line Scenario",IFERROR(C108/C108*'Mortgage Calculator'!$G$25," "),$E$6="Recommendation",IFERROR(C108/C108*'Mortgage Calculator'!$U$28,""))</f>
        <v/>
      </c>
      <c r="F108" s="82" t="str">
        <f>IFERROR(C108/C108*H107*'Mortgage Calculator'!$C$13/12,"")</f>
        <v/>
      </c>
      <c r="G108" s="82" t="str">
        <f t="shared" si="5"/>
        <v/>
      </c>
      <c r="H108" s="100" t="str">
        <f t="shared" si="6"/>
        <v/>
      </c>
      <c r="I108" s="74"/>
      <c r="J108" s="88" t="str">
        <f t="shared" si="7"/>
        <v/>
      </c>
      <c r="K108" s="73"/>
    </row>
    <row r="109" spans="2:11" x14ac:dyDescent="0.3">
      <c r="B109" s="73"/>
      <c r="C109" s="79" t="str">
        <f t="shared" si="4"/>
        <v/>
      </c>
      <c r="D109" s="80"/>
      <c r="E109" s="81" t="str" cm="1">
        <f t="array" ref="E109">_xlfn.IFS($E$6="First-Line Scenario",IFERROR(C109/C109*'Mortgage Calculator'!$G$25," "),$E$6="Recommendation",IFERROR(C109/C109*'Mortgage Calculator'!$U$28,""))</f>
        <v/>
      </c>
      <c r="F109" s="82" t="str">
        <f>IFERROR(C109/C109*H108*'Mortgage Calculator'!$C$13/12,"")</f>
        <v/>
      </c>
      <c r="G109" s="82" t="str">
        <f t="shared" si="5"/>
        <v/>
      </c>
      <c r="H109" s="100" t="str">
        <f t="shared" si="6"/>
        <v/>
      </c>
      <c r="I109" s="74"/>
      <c r="J109" s="88" t="str">
        <f t="shared" si="7"/>
        <v/>
      </c>
      <c r="K109" s="73"/>
    </row>
    <row r="110" spans="2:11" x14ac:dyDescent="0.3">
      <c r="B110" s="73"/>
      <c r="C110" s="79" t="str">
        <f t="shared" si="4"/>
        <v/>
      </c>
      <c r="D110" s="80"/>
      <c r="E110" s="81" t="str" cm="1">
        <f t="array" ref="E110">_xlfn.IFS($E$6="First-Line Scenario",IFERROR(C110/C110*'Mortgage Calculator'!$G$25," "),$E$6="Recommendation",IFERROR(C110/C110*'Mortgage Calculator'!$U$28,""))</f>
        <v/>
      </c>
      <c r="F110" s="82" t="str">
        <f>IFERROR(C110/C110*H109*'Mortgage Calculator'!$C$13/12,"")</f>
        <v/>
      </c>
      <c r="G110" s="82" t="str">
        <f t="shared" si="5"/>
        <v/>
      </c>
      <c r="H110" s="100" t="str">
        <f t="shared" si="6"/>
        <v/>
      </c>
      <c r="I110" s="74"/>
      <c r="J110" s="88" t="str">
        <f t="shared" si="7"/>
        <v/>
      </c>
      <c r="K110" s="73"/>
    </row>
    <row r="111" spans="2:11" x14ac:dyDescent="0.3">
      <c r="B111" s="73"/>
      <c r="C111" s="79" t="str">
        <f t="shared" si="4"/>
        <v/>
      </c>
      <c r="D111" s="80"/>
      <c r="E111" s="81" t="str" cm="1">
        <f t="array" ref="E111">_xlfn.IFS($E$6="First-Line Scenario",IFERROR(C111/C111*'Mortgage Calculator'!$G$25," "),$E$6="Recommendation",IFERROR(C111/C111*'Mortgage Calculator'!$U$28,""))</f>
        <v/>
      </c>
      <c r="F111" s="82" t="str">
        <f>IFERROR(C111/C111*H110*'Mortgage Calculator'!$C$13/12,"")</f>
        <v/>
      </c>
      <c r="G111" s="82" t="str">
        <f t="shared" si="5"/>
        <v/>
      </c>
      <c r="H111" s="100" t="str">
        <f t="shared" si="6"/>
        <v/>
      </c>
      <c r="I111" s="74"/>
      <c r="J111" s="88" t="str">
        <f t="shared" si="7"/>
        <v/>
      </c>
      <c r="K111" s="73"/>
    </row>
    <row r="112" spans="2:11" x14ac:dyDescent="0.3">
      <c r="B112" s="73"/>
      <c r="C112" s="79" t="str">
        <f t="shared" si="4"/>
        <v/>
      </c>
      <c r="D112" s="80"/>
      <c r="E112" s="81" t="str" cm="1">
        <f t="array" ref="E112">_xlfn.IFS($E$6="First-Line Scenario",IFERROR(C112/C112*'Mortgage Calculator'!$G$25," "),$E$6="Recommendation",IFERROR(C112/C112*'Mortgage Calculator'!$U$28,""))</f>
        <v/>
      </c>
      <c r="F112" s="82" t="str">
        <f>IFERROR(C112/C112*H111*'Mortgage Calculator'!$C$13/12,"")</f>
        <v/>
      </c>
      <c r="G112" s="82" t="str">
        <f t="shared" si="5"/>
        <v/>
      </c>
      <c r="H112" s="100" t="str">
        <f t="shared" si="6"/>
        <v/>
      </c>
      <c r="I112" s="74"/>
      <c r="J112" s="88" t="str">
        <f t="shared" si="7"/>
        <v/>
      </c>
      <c r="K112" s="73"/>
    </row>
    <row r="113" spans="2:11" x14ac:dyDescent="0.3">
      <c r="B113" s="73"/>
      <c r="C113" s="79" t="str">
        <f t="shared" si="4"/>
        <v/>
      </c>
      <c r="D113" s="80"/>
      <c r="E113" s="81" t="str" cm="1">
        <f t="array" ref="E113">_xlfn.IFS($E$6="First-Line Scenario",IFERROR(C113/C113*'Mortgage Calculator'!$G$25," "),$E$6="Recommendation",IFERROR(C113/C113*'Mortgage Calculator'!$U$28,""))</f>
        <v/>
      </c>
      <c r="F113" s="82" t="str">
        <f>IFERROR(C113/C113*H112*'Mortgage Calculator'!$C$13/12,"")</f>
        <v/>
      </c>
      <c r="G113" s="82" t="str">
        <f t="shared" si="5"/>
        <v/>
      </c>
      <c r="H113" s="100" t="str">
        <f t="shared" si="6"/>
        <v/>
      </c>
      <c r="I113" s="74"/>
      <c r="J113" s="88" t="str">
        <f t="shared" si="7"/>
        <v/>
      </c>
      <c r="K113" s="73"/>
    </row>
    <row r="114" spans="2:11" x14ac:dyDescent="0.3">
      <c r="B114" s="73"/>
      <c r="C114" s="79" t="str">
        <f t="shared" si="4"/>
        <v/>
      </c>
      <c r="D114" s="80"/>
      <c r="E114" s="81" t="str" cm="1">
        <f t="array" ref="E114">_xlfn.IFS($E$6="First-Line Scenario",IFERROR(C114/C114*'Mortgage Calculator'!$G$25," "),$E$6="Recommendation",IFERROR(C114/C114*'Mortgage Calculator'!$U$28,""))</f>
        <v/>
      </c>
      <c r="F114" s="82" t="str">
        <f>IFERROR(C114/C114*H113*'Mortgage Calculator'!$C$13/12,"")</f>
        <v/>
      </c>
      <c r="G114" s="82" t="str">
        <f t="shared" si="5"/>
        <v/>
      </c>
      <c r="H114" s="100" t="str">
        <f t="shared" si="6"/>
        <v/>
      </c>
      <c r="I114" s="74"/>
      <c r="J114" s="88" t="str">
        <f t="shared" si="7"/>
        <v/>
      </c>
      <c r="K114" s="73"/>
    </row>
    <row r="115" spans="2:11" x14ac:dyDescent="0.3">
      <c r="B115" s="73"/>
      <c r="C115" s="79" t="str">
        <f t="shared" si="4"/>
        <v/>
      </c>
      <c r="D115" s="80"/>
      <c r="E115" s="81" t="str" cm="1">
        <f t="array" ref="E115">_xlfn.IFS($E$6="First-Line Scenario",IFERROR(C115/C115*'Mortgage Calculator'!$G$25," "),$E$6="Recommendation",IFERROR(C115/C115*'Mortgage Calculator'!$U$28,""))</f>
        <v/>
      </c>
      <c r="F115" s="82" t="str">
        <f>IFERROR(C115/C115*H114*'Mortgage Calculator'!$C$13/12,"")</f>
        <v/>
      </c>
      <c r="G115" s="82" t="str">
        <f t="shared" si="5"/>
        <v/>
      </c>
      <c r="H115" s="100" t="str">
        <f t="shared" si="6"/>
        <v/>
      </c>
      <c r="I115" s="74"/>
      <c r="J115" s="88" t="str">
        <f t="shared" si="7"/>
        <v/>
      </c>
      <c r="K115" s="73"/>
    </row>
    <row r="116" spans="2:11" x14ac:dyDescent="0.3">
      <c r="B116" s="73"/>
      <c r="C116" s="79" t="str">
        <f t="shared" si="4"/>
        <v/>
      </c>
      <c r="D116" s="80"/>
      <c r="E116" s="81" t="str" cm="1">
        <f t="array" ref="E116">_xlfn.IFS($E$6="First-Line Scenario",IFERROR(C116/C116*'Mortgage Calculator'!$G$25," "),$E$6="Recommendation",IFERROR(C116/C116*'Mortgage Calculator'!$U$28,""))</f>
        <v/>
      </c>
      <c r="F116" s="82" t="str">
        <f>IFERROR(C116/C116*H115*'Mortgage Calculator'!$C$13/12,"")</f>
        <v/>
      </c>
      <c r="G116" s="82" t="str">
        <f t="shared" si="5"/>
        <v/>
      </c>
      <c r="H116" s="100" t="str">
        <f t="shared" si="6"/>
        <v/>
      </c>
      <c r="I116" s="74"/>
      <c r="J116" s="88" t="str">
        <f t="shared" si="7"/>
        <v/>
      </c>
      <c r="K116" s="73"/>
    </row>
    <row r="117" spans="2:11" x14ac:dyDescent="0.3">
      <c r="B117" s="73"/>
      <c r="C117" s="79" t="str">
        <f t="shared" si="4"/>
        <v/>
      </c>
      <c r="D117" s="80"/>
      <c r="E117" s="81" t="str" cm="1">
        <f t="array" ref="E117">_xlfn.IFS($E$6="First-Line Scenario",IFERROR(C117/C117*'Mortgage Calculator'!$G$25," "),$E$6="Recommendation",IFERROR(C117/C117*'Mortgage Calculator'!$U$28,""))</f>
        <v/>
      </c>
      <c r="F117" s="82" t="str">
        <f>IFERROR(C117/C117*H116*'Mortgage Calculator'!$C$13/12,"")</f>
        <v/>
      </c>
      <c r="G117" s="82" t="str">
        <f t="shared" si="5"/>
        <v/>
      </c>
      <c r="H117" s="100" t="str">
        <f t="shared" si="6"/>
        <v/>
      </c>
      <c r="I117" s="74"/>
      <c r="J117" s="88" t="str">
        <f t="shared" si="7"/>
        <v/>
      </c>
      <c r="K117" s="73"/>
    </row>
    <row r="118" spans="2:11" x14ac:dyDescent="0.3">
      <c r="B118" s="73"/>
      <c r="C118" s="79" t="str">
        <f t="shared" si="4"/>
        <v/>
      </c>
      <c r="D118" s="80"/>
      <c r="E118" s="81" t="str" cm="1">
        <f t="array" ref="E118">_xlfn.IFS($E$6="First-Line Scenario",IFERROR(C118/C118*'Mortgage Calculator'!$G$25," "),$E$6="Recommendation",IFERROR(C118/C118*'Mortgage Calculator'!$U$28,""))</f>
        <v/>
      </c>
      <c r="F118" s="82" t="str">
        <f>IFERROR(C118/C118*H117*'Mortgage Calculator'!$C$13/12,"")</f>
        <v/>
      </c>
      <c r="G118" s="82" t="str">
        <f t="shared" si="5"/>
        <v/>
      </c>
      <c r="H118" s="100" t="str">
        <f t="shared" si="6"/>
        <v/>
      </c>
      <c r="I118" s="74"/>
      <c r="J118" s="88" t="str">
        <f t="shared" si="7"/>
        <v/>
      </c>
      <c r="K118" s="73"/>
    </row>
    <row r="119" spans="2:11" x14ac:dyDescent="0.3">
      <c r="B119" s="73"/>
      <c r="C119" s="79" t="str">
        <f t="shared" si="4"/>
        <v/>
      </c>
      <c r="D119" s="80"/>
      <c r="E119" s="81" t="str" cm="1">
        <f t="array" ref="E119">_xlfn.IFS($E$6="First-Line Scenario",IFERROR(C119/C119*'Mortgage Calculator'!$G$25," "),$E$6="Recommendation",IFERROR(C119/C119*'Mortgage Calculator'!$U$28,""))</f>
        <v/>
      </c>
      <c r="F119" s="82" t="str">
        <f>IFERROR(C119/C119*H118*'Mortgage Calculator'!$C$13/12,"")</f>
        <v/>
      </c>
      <c r="G119" s="82" t="str">
        <f t="shared" si="5"/>
        <v/>
      </c>
      <c r="H119" s="100" t="str">
        <f t="shared" si="6"/>
        <v/>
      </c>
      <c r="I119" s="74"/>
      <c r="J119" s="88" t="str">
        <f t="shared" si="7"/>
        <v/>
      </c>
      <c r="K119" s="73"/>
    </row>
    <row r="120" spans="2:11" x14ac:dyDescent="0.3">
      <c r="B120" s="73"/>
      <c r="C120" s="79" t="str">
        <f t="shared" si="4"/>
        <v/>
      </c>
      <c r="D120" s="80"/>
      <c r="E120" s="81" t="str" cm="1">
        <f t="array" ref="E120">_xlfn.IFS($E$6="First-Line Scenario",IFERROR(C120/C120*'Mortgage Calculator'!$G$25," "),$E$6="Recommendation",IFERROR(C120/C120*'Mortgage Calculator'!$U$28,""))</f>
        <v/>
      </c>
      <c r="F120" s="82" t="str">
        <f>IFERROR(C120/C120*H119*'Mortgage Calculator'!$C$13/12,"")</f>
        <v/>
      </c>
      <c r="G120" s="82" t="str">
        <f t="shared" si="5"/>
        <v/>
      </c>
      <c r="H120" s="100" t="str">
        <f t="shared" si="6"/>
        <v/>
      </c>
      <c r="I120" s="74"/>
      <c r="J120" s="88" t="str">
        <f t="shared" si="7"/>
        <v/>
      </c>
      <c r="K120" s="73"/>
    </row>
    <row r="121" spans="2:11" x14ac:dyDescent="0.3">
      <c r="B121" s="73"/>
      <c r="C121" s="79" t="str">
        <f t="shared" si="4"/>
        <v/>
      </c>
      <c r="D121" s="80"/>
      <c r="E121" s="81" t="str" cm="1">
        <f t="array" ref="E121">_xlfn.IFS($E$6="First-Line Scenario",IFERROR(C121/C121*'Mortgage Calculator'!$G$25," "),$E$6="Recommendation",IFERROR(C121/C121*'Mortgage Calculator'!$U$28,""))</f>
        <v/>
      </c>
      <c r="F121" s="82" t="str">
        <f>IFERROR(C121/C121*H120*'Mortgage Calculator'!$C$13/12,"")</f>
        <v/>
      </c>
      <c r="G121" s="82" t="str">
        <f t="shared" si="5"/>
        <v/>
      </c>
      <c r="H121" s="100" t="str">
        <f t="shared" si="6"/>
        <v/>
      </c>
      <c r="I121" s="74"/>
      <c r="J121" s="88" t="str">
        <f t="shared" si="7"/>
        <v/>
      </c>
      <c r="K121" s="73"/>
    </row>
    <row r="122" spans="2:11" x14ac:dyDescent="0.3">
      <c r="B122" s="73"/>
      <c r="C122" s="79" t="str">
        <f t="shared" si="4"/>
        <v/>
      </c>
      <c r="D122" s="80"/>
      <c r="E122" s="81" t="str" cm="1">
        <f t="array" ref="E122">_xlfn.IFS($E$6="First-Line Scenario",IFERROR(C122/C122*'Mortgage Calculator'!$G$25," "),$E$6="Recommendation",IFERROR(C122/C122*'Mortgage Calculator'!$U$28,""))</f>
        <v/>
      </c>
      <c r="F122" s="82" t="str">
        <f>IFERROR(C122/C122*H121*'Mortgage Calculator'!$C$13/12,"")</f>
        <v/>
      </c>
      <c r="G122" s="82" t="str">
        <f t="shared" si="5"/>
        <v/>
      </c>
      <c r="H122" s="100" t="str">
        <f t="shared" si="6"/>
        <v/>
      </c>
      <c r="I122" s="74"/>
      <c r="J122" s="88" t="str">
        <f t="shared" si="7"/>
        <v/>
      </c>
      <c r="K122" s="73"/>
    </row>
    <row r="123" spans="2:11" x14ac:dyDescent="0.3">
      <c r="B123" s="73"/>
      <c r="C123" s="79" t="str">
        <f t="shared" si="4"/>
        <v/>
      </c>
      <c r="D123" s="80"/>
      <c r="E123" s="81" t="str" cm="1">
        <f t="array" ref="E123">_xlfn.IFS($E$6="First-Line Scenario",IFERROR(C123/C123*'Mortgage Calculator'!$G$25," "),$E$6="Recommendation",IFERROR(C123/C123*'Mortgage Calculator'!$U$28,""))</f>
        <v/>
      </c>
      <c r="F123" s="82" t="str">
        <f>IFERROR(C123/C123*H122*'Mortgage Calculator'!$C$13/12,"")</f>
        <v/>
      </c>
      <c r="G123" s="82" t="str">
        <f t="shared" si="5"/>
        <v/>
      </c>
      <c r="H123" s="100" t="str">
        <f t="shared" si="6"/>
        <v/>
      </c>
      <c r="I123" s="74"/>
      <c r="J123" s="88" t="str">
        <f t="shared" si="7"/>
        <v/>
      </c>
      <c r="K123" s="73"/>
    </row>
    <row r="124" spans="2:11" x14ac:dyDescent="0.3">
      <c r="B124" s="73"/>
      <c r="C124" s="79" t="str">
        <f t="shared" si="4"/>
        <v/>
      </c>
      <c r="D124" s="80"/>
      <c r="E124" s="81" t="str" cm="1">
        <f t="array" ref="E124">_xlfn.IFS($E$6="First-Line Scenario",IFERROR(C124/C124*'Mortgage Calculator'!$G$25," "),$E$6="Recommendation",IFERROR(C124/C124*'Mortgage Calculator'!$U$28,""))</f>
        <v/>
      </c>
      <c r="F124" s="82" t="str">
        <f>IFERROR(C124/C124*H123*'Mortgage Calculator'!$C$13/12,"")</f>
        <v/>
      </c>
      <c r="G124" s="82" t="str">
        <f t="shared" si="5"/>
        <v/>
      </c>
      <c r="H124" s="100" t="str">
        <f t="shared" si="6"/>
        <v/>
      </c>
      <c r="I124" s="74"/>
      <c r="J124" s="88" t="str">
        <f t="shared" si="7"/>
        <v/>
      </c>
      <c r="K124" s="73"/>
    </row>
    <row r="125" spans="2:11" x14ac:dyDescent="0.3">
      <c r="B125" s="73"/>
      <c r="C125" s="79" t="str">
        <f t="shared" si="4"/>
        <v/>
      </c>
      <c r="D125" s="80"/>
      <c r="E125" s="81" t="str" cm="1">
        <f t="array" ref="E125">_xlfn.IFS($E$6="First-Line Scenario",IFERROR(C125/C125*'Mortgage Calculator'!$G$25," "),$E$6="Recommendation",IFERROR(C125/C125*'Mortgage Calculator'!$U$28,""))</f>
        <v/>
      </c>
      <c r="F125" s="82" t="str">
        <f>IFERROR(C125/C125*H124*'Mortgage Calculator'!$C$13/12,"")</f>
        <v/>
      </c>
      <c r="G125" s="82" t="str">
        <f t="shared" si="5"/>
        <v/>
      </c>
      <c r="H125" s="100" t="str">
        <f t="shared" si="6"/>
        <v/>
      </c>
      <c r="I125" s="74"/>
      <c r="J125" s="88" t="str">
        <f t="shared" si="7"/>
        <v/>
      </c>
      <c r="K125" s="73"/>
    </row>
    <row r="126" spans="2:11" x14ac:dyDescent="0.3">
      <c r="B126" s="73"/>
      <c r="C126" s="79" t="str">
        <f t="shared" si="4"/>
        <v/>
      </c>
      <c r="D126" s="80"/>
      <c r="E126" s="81" t="str" cm="1">
        <f t="array" ref="E126">_xlfn.IFS($E$6="First-Line Scenario",IFERROR(C126/C126*'Mortgage Calculator'!$G$25," "),$E$6="Recommendation",IFERROR(C126/C126*'Mortgage Calculator'!$U$28,""))</f>
        <v/>
      </c>
      <c r="F126" s="82" t="str">
        <f>IFERROR(C126/C126*H125*'Mortgage Calculator'!$C$13/12,"")</f>
        <v/>
      </c>
      <c r="G126" s="82" t="str">
        <f t="shared" si="5"/>
        <v/>
      </c>
      <c r="H126" s="100" t="str">
        <f t="shared" si="6"/>
        <v/>
      </c>
      <c r="I126" s="74"/>
      <c r="J126" s="88" t="str">
        <f t="shared" si="7"/>
        <v/>
      </c>
      <c r="K126" s="73"/>
    </row>
    <row r="127" spans="2:11" x14ac:dyDescent="0.3">
      <c r="B127" s="73"/>
      <c r="C127" s="79" t="str">
        <f t="shared" si="4"/>
        <v/>
      </c>
      <c r="D127" s="80"/>
      <c r="E127" s="81" t="str" cm="1">
        <f t="array" ref="E127">_xlfn.IFS($E$6="First-Line Scenario",IFERROR(C127/C127*'Mortgage Calculator'!$G$25," "),$E$6="Recommendation",IFERROR(C127/C127*'Mortgage Calculator'!$U$28,""))</f>
        <v/>
      </c>
      <c r="F127" s="82" t="str">
        <f>IFERROR(C127/C127*H126*'Mortgage Calculator'!$C$13/12,"")</f>
        <v/>
      </c>
      <c r="G127" s="82" t="str">
        <f t="shared" si="5"/>
        <v/>
      </c>
      <c r="H127" s="100" t="str">
        <f t="shared" si="6"/>
        <v/>
      </c>
      <c r="I127" s="74"/>
      <c r="J127" s="88" t="str">
        <f t="shared" si="7"/>
        <v/>
      </c>
      <c r="K127" s="73"/>
    </row>
    <row r="128" spans="2:11" x14ac:dyDescent="0.3">
      <c r="B128" s="73"/>
      <c r="C128" s="79" t="str">
        <f t="shared" si="4"/>
        <v/>
      </c>
      <c r="D128" s="80"/>
      <c r="E128" s="81" t="str" cm="1">
        <f t="array" ref="E128">_xlfn.IFS($E$6="First-Line Scenario",IFERROR(C128/C128*'Mortgage Calculator'!$G$25," "),$E$6="Recommendation",IFERROR(C128/C128*'Mortgage Calculator'!$U$28,""))</f>
        <v/>
      </c>
      <c r="F128" s="82" t="str">
        <f>IFERROR(C128/C128*H127*'Mortgage Calculator'!$C$13/12,"")</f>
        <v/>
      </c>
      <c r="G128" s="82" t="str">
        <f t="shared" si="5"/>
        <v/>
      </c>
      <c r="H128" s="100" t="str">
        <f t="shared" si="6"/>
        <v/>
      </c>
      <c r="I128" s="74"/>
      <c r="J128" s="88" t="str">
        <f t="shared" si="7"/>
        <v/>
      </c>
      <c r="K128" s="73"/>
    </row>
    <row r="129" spans="2:11" x14ac:dyDescent="0.3">
      <c r="B129" s="73"/>
      <c r="C129" s="79" t="str">
        <f t="shared" si="4"/>
        <v/>
      </c>
      <c r="D129" s="80"/>
      <c r="E129" s="81" t="str" cm="1">
        <f t="array" ref="E129">_xlfn.IFS($E$6="First-Line Scenario",IFERROR(C129/C129*'Mortgage Calculator'!$G$25," "),$E$6="Recommendation",IFERROR(C129/C129*'Mortgage Calculator'!$U$28,""))</f>
        <v/>
      </c>
      <c r="F129" s="82" t="str">
        <f>IFERROR(C129/C129*H128*'Mortgage Calculator'!$C$13/12,"")</f>
        <v/>
      </c>
      <c r="G129" s="82" t="str">
        <f t="shared" si="5"/>
        <v/>
      </c>
      <c r="H129" s="100" t="str">
        <f t="shared" si="6"/>
        <v/>
      </c>
      <c r="I129" s="74"/>
      <c r="J129" s="88" t="str">
        <f t="shared" si="7"/>
        <v/>
      </c>
      <c r="K129" s="73"/>
    </row>
    <row r="130" spans="2:11" x14ac:dyDescent="0.3">
      <c r="B130" s="73"/>
      <c r="C130" s="79" t="str">
        <f t="shared" si="4"/>
        <v/>
      </c>
      <c r="D130" s="80"/>
      <c r="E130" s="81" t="str" cm="1">
        <f t="array" ref="E130">_xlfn.IFS($E$6="First-Line Scenario",IFERROR(C130/C130*'Mortgage Calculator'!$G$25," "),$E$6="Recommendation",IFERROR(C130/C130*'Mortgage Calculator'!$U$28,""))</f>
        <v/>
      </c>
      <c r="F130" s="82" t="str">
        <f>IFERROR(C130/C130*H129*'Mortgage Calculator'!$C$13/12,"")</f>
        <v/>
      </c>
      <c r="G130" s="82" t="str">
        <f t="shared" si="5"/>
        <v/>
      </c>
      <c r="H130" s="100" t="str">
        <f t="shared" si="6"/>
        <v/>
      </c>
      <c r="I130" s="74"/>
      <c r="J130" s="88" t="str">
        <f t="shared" si="7"/>
        <v/>
      </c>
      <c r="K130" s="73"/>
    </row>
    <row r="131" spans="2:11" x14ac:dyDescent="0.3">
      <c r="B131" s="73"/>
      <c r="C131" s="79" t="str">
        <f t="shared" si="4"/>
        <v/>
      </c>
      <c r="D131" s="80"/>
      <c r="E131" s="81" t="str" cm="1">
        <f t="array" ref="E131">_xlfn.IFS($E$6="First-Line Scenario",IFERROR(C131/C131*'Mortgage Calculator'!$G$25," "),$E$6="Recommendation",IFERROR(C131/C131*'Mortgage Calculator'!$U$28,""))</f>
        <v/>
      </c>
      <c r="F131" s="82" t="str">
        <f>IFERROR(C131/C131*H130*'Mortgage Calculator'!$C$13/12,"")</f>
        <v/>
      </c>
      <c r="G131" s="82" t="str">
        <f t="shared" si="5"/>
        <v/>
      </c>
      <c r="H131" s="100" t="str">
        <f t="shared" si="6"/>
        <v/>
      </c>
      <c r="I131" s="74"/>
      <c r="J131" s="88" t="str">
        <f t="shared" si="7"/>
        <v/>
      </c>
      <c r="K131" s="73"/>
    </row>
    <row r="132" spans="2:11" x14ac:dyDescent="0.3">
      <c r="B132" s="73"/>
      <c r="C132" s="79" t="str">
        <f t="shared" si="4"/>
        <v/>
      </c>
      <c r="D132" s="80"/>
      <c r="E132" s="81" t="str" cm="1">
        <f t="array" ref="E132">_xlfn.IFS($E$6="First-Line Scenario",IFERROR(C132/C132*'Mortgage Calculator'!$G$25," "),$E$6="Recommendation",IFERROR(C132/C132*'Mortgage Calculator'!$U$28,""))</f>
        <v/>
      </c>
      <c r="F132" s="82" t="str">
        <f>IFERROR(C132/C132*H131*'Mortgage Calculator'!$C$13/12,"")</f>
        <v/>
      </c>
      <c r="G132" s="82" t="str">
        <f t="shared" si="5"/>
        <v/>
      </c>
      <c r="H132" s="100" t="str">
        <f t="shared" si="6"/>
        <v/>
      </c>
      <c r="I132" s="74"/>
      <c r="J132" s="88" t="str">
        <f t="shared" si="7"/>
        <v/>
      </c>
      <c r="K132" s="73"/>
    </row>
    <row r="133" spans="2:11" x14ac:dyDescent="0.3">
      <c r="B133" s="73"/>
      <c r="C133" s="79" t="str">
        <f t="shared" si="4"/>
        <v/>
      </c>
      <c r="D133" s="80"/>
      <c r="E133" s="81" t="str" cm="1">
        <f t="array" ref="E133">_xlfn.IFS($E$6="First-Line Scenario",IFERROR(C133/C133*'Mortgage Calculator'!$G$25," "),$E$6="Recommendation",IFERROR(C133/C133*'Mortgage Calculator'!$U$28,""))</f>
        <v/>
      </c>
      <c r="F133" s="82" t="str">
        <f>IFERROR(C133/C133*H132*'Mortgage Calculator'!$C$13/12,"")</f>
        <v/>
      </c>
      <c r="G133" s="82" t="str">
        <f t="shared" si="5"/>
        <v/>
      </c>
      <c r="H133" s="100" t="str">
        <f t="shared" si="6"/>
        <v/>
      </c>
      <c r="I133" s="74"/>
      <c r="J133" s="88" t="str">
        <f t="shared" si="7"/>
        <v/>
      </c>
      <c r="K133" s="73"/>
    </row>
    <row r="134" spans="2:11" x14ac:dyDescent="0.3">
      <c r="B134" s="73"/>
      <c r="C134" s="79" t="str">
        <f t="shared" si="4"/>
        <v/>
      </c>
      <c r="D134" s="80"/>
      <c r="E134" s="81" t="str" cm="1">
        <f t="array" ref="E134">_xlfn.IFS($E$6="First-Line Scenario",IFERROR(C134/C134*'Mortgage Calculator'!$G$25," "),$E$6="Recommendation",IFERROR(C134/C134*'Mortgage Calculator'!$U$28,""))</f>
        <v/>
      </c>
      <c r="F134" s="82" t="str">
        <f>IFERROR(C134/C134*H133*'Mortgage Calculator'!$C$13/12,"")</f>
        <v/>
      </c>
      <c r="G134" s="82" t="str">
        <f t="shared" si="5"/>
        <v/>
      </c>
      <c r="H134" s="100" t="str">
        <f t="shared" si="6"/>
        <v/>
      </c>
      <c r="I134" s="74"/>
      <c r="J134" s="88" t="str">
        <f t="shared" si="7"/>
        <v/>
      </c>
      <c r="K134" s="73"/>
    </row>
    <row r="135" spans="2:11" x14ac:dyDescent="0.3">
      <c r="B135" s="73"/>
      <c r="C135" s="79" t="str">
        <f t="shared" si="4"/>
        <v/>
      </c>
      <c r="D135" s="80"/>
      <c r="E135" s="81" t="str" cm="1">
        <f t="array" ref="E135">_xlfn.IFS($E$6="First-Line Scenario",IFERROR(C135/C135*'Mortgage Calculator'!$G$25," "),$E$6="Recommendation",IFERROR(C135/C135*'Mortgage Calculator'!$U$28,""))</f>
        <v/>
      </c>
      <c r="F135" s="82" t="str">
        <f>IFERROR(C135/C135*H134*'Mortgage Calculator'!$C$13/12,"")</f>
        <v/>
      </c>
      <c r="G135" s="82" t="str">
        <f t="shared" si="5"/>
        <v/>
      </c>
      <c r="H135" s="100" t="str">
        <f t="shared" si="6"/>
        <v/>
      </c>
      <c r="I135" s="74"/>
      <c r="J135" s="88" t="str">
        <f t="shared" si="7"/>
        <v/>
      </c>
      <c r="K135" s="73"/>
    </row>
    <row r="136" spans="2:11" x14ac:dyDescent="0.3">
      <c r="B136" s="73"/>
      <c r="C136" s="79" t="str">
        <f t="shared" si="4"/>
        <v/>
      </c>
      <c r="D136" s="80"/>
      <c r="E136" s="81" t="str" cm="1">
        <f t="array" ref="E136">_xlfn.IFS($E$6="First-Line Scenario",IFERROR(C136/C136*'Mortgage Calculator'!$G$25," "),$E$6="Recommendation",IFERROR(C136/C136*'Mortgage Calculator'!$U$28,""))</f>
        <v/>
      </c>
      <c r="F136" s="82" t="str">
        <f>IFERROR(C136/C136*H135*'Mortgage Calculator'!$C$13/12,"")</f>
        <v/>
      </c>
      <c r="G136" s="82" t="str">
        <f t="shared" si="5"/>
        <v/>
      </c>
      <c r="H136" s="100" t="str">
        <f t="shared" si="6"/>
        <v/>
      </c>
      <c r="I136" s="74"/>
      <c r="J136" s="88" t="str">
        <f t="shared" si="7"/>
        <v/>
      </c>
      <c r="K136" s="73"/>
    </row>
    <row r="137" spans="2:11" x14ac:dyDescent="0.3">
      <c r="B137" s="73"/>
      <c r="C137" s="79" t="str">
        <f t="shared" si="4"/>
        <v/>
      </c>
      <c r="D137" s="80"/>
      <c r="E137" s="81" t="str" cm="1">
        <f t="array" ref="E137">_xlfn.IFS($E$6="First-Line Scenario",IFERROR(C137/C137*'Mortgage Calculator'!$G$25," "),$E$6="Recommendation",IFERROR(C137/C137*'Mortgage Calculator'!$U$28,""))</f>
        <v/>
      </c>
      <c r="F137" s="82" t="str">
        <f>IFERROR(C137/C137*H136*'Mortgage Calculator'!$C$13/12,"")</f>
        <v/>
      </c>
      <c r="G137" s="82" t="str">
        <f t="shared" si="5"/>
        <v/>
      </c>
      <c r="H137" s="100" t="str">
        <f t="shared" si="6"/>
        <v/>
      </c>
      <c r="I137" s="74"/>
      <c r="J137" s="88" t="str">
        <f t="shared" si="7"/>
        <v/>
      </c>
      <c r="K137" s="73"/>
    </row>
    <row r="138" spans="2:11" x14ac:dyDescent="0.3">
      <c r="B138" s="73"/>
      <c r="C138" s="79" t="str">
        <f t="shared" si="4"/>
        <v/>
      </c>
      <c r="D138" s="80"/>
      <c r="E138" s="81" t="str" cm="1">
        <f t="array" ref="E138">_xlfn.IFS($E$6="First-Line Scenario",IFERROR(C138/C138*'Mortgage Calculator'!$G$25," "),$E$6="Recommendation",IFERROR(C138/C138*'Mortgage Calculator'!$U$28,""))</f>
        <v/>
      </c>
      <c r="F138" s="82" t="str">
        <f>IFERROR(C138/C138*H137*'Mortgage Calculator'!$C$13/12,"")</f>
        <v/>
      </c>
      <c r="G138" s="82" t="str">
        <f t="shared" si="5"/>
        <v/>
      </c>
      <c r="H138" s="100" t="str">
        <f t="shared" si="6"/>
        <v/>
      </c>
      <c r="I138" s="74"/>
      <c r="J138" s="88" t="str">
        <f t="shared" si="7"/>
        <v/>
      </c>
      <c r="K138" s="73"/>
    </row>
    <row r="139" spans="2:11" x14ac:dyDescent="0.3">
      <c r="B139" s="73"/>
      <c r="C139" s="79" t="str">
        <f t="shared" si="4"/>
        <v/>
      </c>
      <c r="D139" s="80"/>
      <c r="E139" s="81" t="str" cm="1">
        <f t="array" ref="E139">_xlfn.IFS($E$6="First-Line Scenario",IFERROR(C139/C139*'Mortgage Calculator'!$G$25," "),$E$6="Recommendation",IFERROR(C139/C139*'Mortgage Calculator'!$U$28,""))</f>
        <v/>
      </c>
      <c r="F139" s="82" t="str">
        <f>IFERROR(C139/C139*H138*'Mortgage Calculator'!$C$13/12,"")</f>
        <v/>
      </c>
      <c r="G139" s="82" t="str">
        <f t="shared" si="5"/>
        <v/>
      </c>
      <c r="H139" s="100" t="str">
        <f t="shared" si="6"/>
        <v/>
      </c>
      <c r="I139" s="74"/>
      <c r="J139" s="88" t="str">
        <f t="shared" si="7"/>
        <v/>
      </c>
      <c r="K139" s="73"/>
    </row>
    <row r="140" spans="2:11" x14ac:dyDescent="0.3">
      <c r="B140" s="73"/>
      <c r="C140" s="79" t="str">
        <f t="shared" si="4"/>
        <v/>
      </c>
      <c r="D140" s="80"/>
      <c r="E140" s="81" t="str" cm="1">
        <f t="array" ref="E140">_xlfn.IFS($E$6="First-Line Scenario",IFERROR(C140/C140*'Mortgage Calculator'!$G$25," "),$E$6="Recommendation",IFERROR(C140/C140*'Mortgage Calculator'!$U$28,""))</f>
        <v/>
      </c>
      <c r="F140" s="82" t="str">
        <f>IFERROR(C140/C140*H139*'Mortgage Calculator'!$C$13/12,"")</f>
        <v/>
      </c>
      <c r="G140" s="82" t="str">
        <f t="shared" si="5"/>
        <v/>
      </c>
      <c r="H140" s="100" t="str">
        <f t="shared" si="6"/>
        <v/>
      </c>
      <c r="I140" s="74"/>
      <c r="J140" s="88" t="str">
        <f t="shared" si="7"/>
        <v/>
      </c>
      <c r="K140" s="73"/>
    </row>
    <row r="141" spans="2:11" x14ac:dyDescent="0.3">
      <c r="B141" s="73"/>
      <c r="C141" s="79" t="str">
        <f t="shared" ref="C141:C204" si="8">IF(D141="","",ROW()-11)</f>
        <v/>
      </c>
      <c r="D141" s="80"/>
      <c r="E141" s="81" t="str" cm="1">
        <f t="array" ref="E141">_xlfn.IFS($E$6="First-Line Scenario",IFERROR(C141/C141*'Mortgage Calculator'!$G$25," "),$E$6="Recommendation",IFERROR(C141/C141*'Mortgage Calculator'!$U$28,""))</f>
        <v/>
      </c>
      <c r="F141" s="82" t="str">
        <f>IFERROR(C141/C141*H140*'Mortgage Calculator'!$C$13/12,"")</f>
        <v/>
      </c>
      <c r="G141" s="82" t="str">
        <f t="shared" ref="G141:G204" si="9">IFERROR(E141-F141,"")</f>
        <v/>
      </c>
      <c r="H141" s="100" t="str">
        <f t="shared" ref="H141:H204" si="10">IFERROR(H140-G141,"")</f>
        <v/>
      </c>
      <c r="I141" s="74"/>
      <c r="J141" s="88" t="str">
        <f t="shared" ref="J141:J204" si="11">IFERROR(J140+F141,"")</f>
        <v/>
      </c>
      <c r="K141" s="73"/>
    </row>
    <row r="142" spans="2:11" x14ac:dyDescent="0.3">
      <c r="B142" s="73"/>
      <c r="C142" s="79" t="str">
        <f t="shared" si="8"/>
        <v/>
      </c>
      <c r="D142" s="80"/>
      <c r="E142" s="81" t="str" cm="1">
        <f t="array" ref="E142">_xlfn.IFS($E$6="First-Line Scenario",IFERROR(C142/C142*'Mortgage Calculator'!$G$25," "),$E$6="Recommendation",IFERROR(C142/C142*'Mortgage Calculator'!$U$28,""))</f>
        <v/>
      </c>
      <c r="F142" s="82" t="str">
        <f>IFERROR(C142/C142*H141*'Mortgage Calculator'!$C$13/12,"")</f>
        <v/>
      </c>
      <c r="G142" s="82" t="str">
        <f t="shared" si="9"/>
        <v/>
      </c>
      <c r="H142" s="100" t="str">
        <f t="shared" si="10"/>
        <v/>
      </c>
      <c r="I142" s="74"/>
      <c r="J142" s="88" t="str">
        <f t="shared" si="11"/>
        <v/>
      </c>
      <c r="K142" s="73"/>
    </row>
    <row r="143" spans="2:11" x14ac:dyDescent="0.3">
      <c r="B143" s="73"/>
      <c r="C143" s="79" t="str">
        <f t="shared" si="8"/>
        <v/>
      </c>
      <c r="D143" s="80"/>
      <c r="E143" s="81" t="str" cm="1">
        <f t="array" ref="E143">_xlfn.IFS($E$6="First-Line Scenario",IFERROR(C143/C143*'Mortgage Calculator'!$G$25," "),$E$6="Recommendation",IFERROR(C143/C143*'Mortgage Calculator'!$U$28,""))</f>
        <v/>
      </c>
      <c r="F143" s="82" t="str">
        <f>IFERROR(C143/C143*H142*'Mortgage Calculator'!$C$13/12,"")</f>
        <v/>
      </c>
      <c r="G143" s="82" t="str">
        <f t="shared" si="9"/>
        <v/>
      </c>
      <c r="H143" s="100" t="str">
        <f t="shared" si="10"/>
        <v/>
      </c>
      <c r="I143" s="74"/>
      <c r="J143" s="88" t="str">
        <f t="shared" si="11"/>
        <v/>
      </c>
      <c r="K143" s="73"/>
    </row>
    <row r="144" spans="2:11" x14ac:dyDescent="0.3">
      <c r="B144" s="73"/>
      <c r="C144" s="79" t="str">
        <f t="shared" si="8"/>
        <v/>
      </c>
      <c r="D144" s="80"/>
      <c r="E144" s="81" t="str" cm="1">
        <f t="array" ref="E144">_xlfn.IFS($E$6="First-Line Scenario",IFERROR(C144/C144*'Mortgage Calculator'!$G$25," "),$E$6="Recommendation",IFERROR(C144/C144*'Mortgage Calculator'!$U$28,""))</f>
        <v/>
      </c>
      <c r="F144" s="82" t="str">
        <f>IFERROR(C144/C144*H143*'Mortgage Calculator'!$C$13/12,"")</f>
        <v/>
      </c>
      <c r="G144" s="82" t="str">
        <f t="shared" si="9"/>
        <v/>
      </c>
      <c r="H144" s="100" t="str">
        <f t="shared" si="10"/>
        <v/>
      </c>
      <c r="I144" s="74"/>
      <c r="J144" s="88" t="str">
        <f t="shared" si="11"/>
        <v/>
      </c>
      <c r="K144" s="73"/>
    </row>
    <row r="145" spans="2:11" x14ac:dyDescent="0.3">
      <c r="B145" s="73"/>
      <c r="C145" s="79" t="str">
        <f t="shared" si="8"/>
        <v/>
      </c>
      <c r="D145" s="80"/>
      <c r="E145" s="81" t="str" cm="1">
        <f t="array" ref="E145">_xlfn.IFS($E$6="First-Line Scenario",IFERROR(C145/C145*'Mortgage Calculator'!$G$25," "),$E$6="Recommendation",IFERROR(C145/C145*'Mortgage Calculator'!$U$28,""))</f>
        <v/>
      </c>
      <c r="F145" s="82" t="str">
        <f>IFERROR(C145/C145*H144*'Mortgage Calculator'!$C$13/12,"")</f>
        <v/>
      </c>
      <c r="G145" s="82" t="str">
        <f t="shared" si="9"/>
        <v/>
      </c>
      <c r="H145" s="100" t="str">
        <f t="shared" si="10"/>
        <v/>
      </c>
      <c r="I145" s="74"/>
      <c r="J145" s="88" t="str">
        <f t="shared" si="11"/>
        <v/>
      </c>
      <c r="K145" s="73"/>
    </row>
    <row r="146" spans="2:11" x14ac:dyDescent="0.3">
      <c r="B146" s="73"/>
      <c r="C146" s="79" t="str">
        <f t="shared" si="8"/>
        <v/>
      </c>
      <c r="D146" s="80"/>
      <c r="E146" s="81" t="str" cm="1">
        <f t="array" ref="E146">_xlfn.IFS($E$6="First-Line Scenario",IFERROR(C146/C146*'Mortgage Calculator'!$G$25," "),$E$6="Recommendation",IFERROR(C146/C146*'Mortgage Calculator'!$U$28,""))</f>
        <v/>
      </c>
      <c r="F146" s="82" t="str">
        <f>IFERROR(C146/C146*H145*'Mortgage Calculator'!$C$13/12,"")</f>
        <v/>
      </c>
      <c r="G146" s="82" t="str">
        <f t="shared" si="9"/>
        <v/>
      </c>
      <c r="H146" s="100" t="str">
        <f t="shared" si="10"/>
        <v/>
      </c>
      <c r="I146" s="74"/>
      <c r="J146" s="88" t="str">
        <f t="shared" si="11"/>
        <v/>
      </c>
      <c r="K146" s="73"/>
    </row>
    <row r="147" spans="2:11" x14ac:dyDescent="0.3">
      <c r="B147" s="73"/>
      <c r="C147" s="79" t="str">
        <f t="shared" si="8"/>
        <v/>
      </c>
      <c r="D147" s="80"/>
      <c r="E147" s="81" t="str" cm="1">
        <f t="array" ref="E147">_xlfn.IFS($E$6="First-Line Scenario",IFERROR(C147/C147*'Mortgage Calculator'!$G$25," "),$E$6="Recommendation",IFERROR(C147/C147*'Mortgage Calculator'!$U$28,""))</f>
        <v/>
      </c>
      <c r="F147" s="82" t="str">
        <f>IFERROR(C147/C147*H146*'Mortgage Calculator'!$C$13/12,"")</f>
        <v/>
      </c>
      <c r="G147" s="82" t="str">
        <f t="shared" si="9"/>
        <v/>
      </c>
      <c r="H147" s="100" t="str">
        <f t="shared" si="10"/>
        <v/>
      </c>
      <c r="I147" s="74"/>
      <c r="J147" s="88" t="str">
        <f t="shared" si="11"/>
        <v/>
      </c>
      <c r="K147" s="73"/>
    </row>
    <row r="148" spans="2:11" x14ac:dyDescent="0.3">
      <c r="B148" s="73"/>
      <c r="C148" s="79" t="str">
        <f t="shared" si="8"/>
        <v/>
      </c>
      <c r="D148" s="80"/>
      <c r="E148" s="81" t="str" cm="1">
        <f t="array" ref="E148">_xlfn.IFS($E$6="First-Line Scenario",IFERROR(C148/C148*'Mortgage Calculator'!$G$25," "),$E$6="Recommendation",IFERROR(C148/C148*'Mortgage Calculator'!$U$28,""))</f>
        <v/>
      </c>
      <c r="F148" s="82" t="str">
        <f>IFERROR(C148/C148*H147*'Mortgage Calculator'!$C$13/12,"")</f>
        <v/>
      </c>
      <c r="G148" s="82" t="str">
        <f t="shared" si="9"/>
        <v/>
      </c>
      <c r="H148" s="100" t="str">
        <f t="shared" si="10"/>
        <v/>
      </c>
      <c r="I148" s="74"/>
      <c r="J148" s="88" t="str">
        <f t="shared" si="11"/>
        <v/>
      </c>
      <c r="K148" s="73"/>
    </row>
    <row r="149" spans="2:11" x14ac:dyDescent="0.3">
      <c r="B149" s="73"/>
      <c r="C149" s="79" t="str">
        <f t="shared" si="8"/>
        <v/>
      </c>
      <c r="D149" s="80"/>
      <c r="E149" s="81" t="str" cm="1">
        <f t="array" ref="E149">_xlfn.IFS($E$6="First-Line Scenario",IFERROR(C149/C149*'Mortgage Calculator'!$G$25," "),$E$6="Recommendation",IFERROR(C149/C149*'Mortgage Calculator'!$U$28,""))</f>
        <v/>
      </c>
      <c r="F149" s="82" t="str">
        <f>IFERROR(C149/C149*H148*'Mortgage Calculator'!$C$13/12,"")</f>
        <v/>
      </c>
      <c r="G149" s="82" t="str">
        <f t="shared" si="9"/>
        <v/>
      </c>
      <c r="H149" s="100" t="str">
        <f t="shared" si="10"/>
        <v/>
      </c>
      <c r="I149" s="74"/>
      <c r="J149" s="88" t="str">
        <f t="shared" si="11"/>
        <v/>
      </c>
      <c r="K149" s="73"/>
    </row>
    <row r="150" spans="2:11" x14ac:dyDescent="0.3">
      <c r="B150" s="73"/>
      <c r="C150" s="79" t="str">
        <f t="shared" si="8"/>
        <v/>
      </c>
      <c r="D150" s="80"/>
      <c r="E150" s="81" t="str" cm="1">
        <f t="array" ref="E150">_xlfn.IFS($E$6="First-Line Scenario",IFERROR(C150/C150*'Mortgage Calculator'!$G$25," "),$E$6="Recommendation",IFERROR(C150/C150*'Mortgage Calculator'!$U$28,""))</f>
        <v/>
      </c>
      <c r="F150" s="82" t="str">
        <f>IFERROR(C150/C150*H149*'Mortgage Calculator'!$C$13/12,"")</f>
        <v/>
      </c>
      <c r="G150" s="82" t="str">
        <f t="shared" si="9"/>
        <v/>
      </c>
      <c r="H150" s="100" t="str">
        <f t="shared" si="10"/>
        <v/>
      </c>
      <c r="I150" s="74"/>
      <c r="J150" s="88" t="str">
        <f t="shared" si="11"/>
        <v/>
      </c>
      <c r="K150" s="73"/>
    </row>
    <row r="151" spans="2:11" x14ac:dyDescent="0.3">
      <c r="B151" s="73"/>
      <c r="C151" s="79" t="str">
        <f t="shared" si="8"/>
        <v/>
      </c>
      <c r="D151" s="80"/>
      <c r="E151" s="81" t="str" cm="1">
        <f t="array" ref="E151">_xlfn.IFS($E$6="First-Line Scenario",IFERROR(C151/C151*'Mortgage Calculator'!$G$25," "),$E$6="Recommendation",IFERROR(C151/C151*'Mortgage Calculator'!$U$28,""))</f>
        <v/>
      </c>
      <c r="F151" s="82" t="str">
        <f>IFERROR(C151/C151*H150*'Mortgage Calculator'!$C$13/12,"")</f>
        <v/>
      </c>
      <c r="G151" s="82" t="str">
        <f t="shared" si="9"/>
        <v/>
      </c>
      <c r="H151" s="100" t="str">
        <f t="shared" si="10"/>
        <v/>
      </c>
      <c r="I151" s="74"/>
      <c r="J151" s="88" t="str">
        <f t="shared" si="11"/>
        <v/>
      </c>
      <c r="K151" s="73"/>
    </row>
    <row r="152" spans="2:11" x14ac:dyDescent="0.3">
      <c r="B152" s="73"/>
      <c r="C152" s="79" t="str">
        <f t="shared" si="8"/>
        <v/>
      </c>
      <c r="D152" s="80"/>
      <c r="E152" s="81" t="str" cm="1">
        <f t="array" ref="E152">_xlfn.IFS($E$6="First-Line Scenario",IFERROR(C152/C152*'Mortgage Calculator'!$G$25," "),$E$6="Recommendation",IFERROR(C152/C152*'Mortgage Calculator'!$U$28,""))</f>
        <v/>
      </c>
      <c r="F152" s="82" t="str">
        <f>IFERROR(C152/C152*H151*'Mortgage Calculator'!$C$13/12,"")</f>
        <v/>
      </c>
      <c r="G152" s="82" t="str">
        <f t="shared" si="9"/>
        <v/>
      </c>
      <c r="H152" s="100" t="str">
        <f t="shared" si="10"/>
        <v/>
      </c>
      <c r="I152" s="74"/>
      <c r="J152" s="88" t="str">
        <f t="shared" si="11"/>
        <v/>
      </c>
      <c r="K152" s="73"/>
    </row>
    <row r="153" spans="2:11" x14ac:dyDescent="0.3">
      <c r="B153" s="73"/>
      <c r="C153" s="79" t="str">
        <f t="shared" si="8"/>
        <v/>
      </c>
      <c r="D153" s="80"/>
      <c r="E153" s="81" t="str" cm="1">
        <f t="array" ref="E153">_xlfn.IFS($E$6="First-Line Scenario",IFERROR(C153/C153*'Mortgage Calculator'!$G$25," "),$E$6="Recommendation",IFERROR(C153/C153*'Mortgage Calculator'!$U$28,""))</f>
        <v/>
      </c>
      <c r="F153" s="82" t="str">
        <f>IFERROR(C153/C153*H152*'Mortgage Calculator'!$C$13/12,"")</f>
        <v/>
      </c>
      <c r="G153" s="82" t="str">
        <f t="shared" si="9"/>
        <v/>
      </c>
      <c r="H153" s="100" t="str">
        <f t="shared" si="10"/>
        <v/>
      </c>
      <c r="I153" s="74"/>
      <c r="J153" s="88" t="str">
        <f t="shared" si="11"/>
        <v/>
      </c>
      <c r="K153" s="73"/>
    </row>
    <row r="154" spans="2:11" x14ac:dyDescent="0.3">
      <c r="B154" s="73"/>
      <c r="C154" s="79" t="str">
        <f t="shared" si="8"/>
        <v/>
      </c>
      <c r="D154" s="80"/>
      <c r="E154" s="81" t="str" cm="1">
        <f t="array" ref="E154">_xlfn.IFS($E$6="First-Line Scenario",IFERROR(C154/C154*'Mortgage Calculator'!$G$25," "),$E$6="Recommendation",IFERROR(C154/C154*'Mortgage Calculator'!$U$28,""))</f>
        <v/>
      </c>
      <c r="F154" s="82" t="str">
        <f>IFERROR(C154/C154*H153*'Mortgage Calculator'!$C$13/12,"")</f>
        <v/>
      </c>
      <c r="G154" s="82" t="str">
        <f t="shared" si="9"/>
        <v/>
      </c>
      <c r="H154" s="100" t="str">
        <f t="shared" si="10"/>
        <v/>
      </c>
      <c r="I154" s="74"/>
      <c r="J154" s="88" t="str">
        <f t="shared" si="11"/>
        <v/>
      </c>
      <c r="K154" s="73"/>
    </row>
    <row r="155" spans="2:11" x14ac:dyDescent="0.3">
      <c r="B155" s="73"/>
      <c r="C155" s="79" t="str">
        <f t="shared" si="8"/>
        <v/>
      </c>
      <c r="D155" s="80"/>
      <c r="E155" s="81" t="str" cm="1">
        <f t="array" ref="E155">_xlfn.IFS($E$6="First-Line Scenario",IFERROR(C155/C155*'Mortgage Calculator'!$G$25," "),$E$6="Recommendation",IFERROR(C155/C155*'Mortgage Calculator'!$U$28,""))</f>
        <v/>
      </c>
      <c r="F155" s="82" t="str">
        <f>IFERROR(C155/C155*H154*'Mortgage Calculator'!$C$13/12,"")</f>
        <v/>
      </c>
      <c r="G155" s="82" t="str">
        <f t="shared" si="9"/>
        <v/>
      </c>
      <c r="H155" s="100" t="str">
        <f t="shared" si="10"/>
        <v/>
      </c>
      <c r="I155" s="74"/>
      <c r="J155" s="88" t="str">
        <f t="shared" si="11"/>
        <v/>
      </c>
      <c r="K155" s="73"/>
    </row>
    <row r="156" spans="2:11" x14ac:dyDescent="0.3">
      <c r="B156" s="73"/>
      <c r="C156" s="79" t="str">
        <f t="shared" si="8"/>
        <v/>
      </c>
      <c r="D156" s="80"/>
      <c r="E156" s="81" t="str" cm="1">
        <f t="array" ref="E156">_xlfn.IFS($E$6="First-Line Scenario",IFERROR(C156/C156*'Mortgage Calculator'!$G$25," "),$E$6="Recommendation",IFERROR(C156/C156*'Mortgage Calculator'!$U$28,""))</f>
        <v/>
      </c>
      <c r="F156" s="82" t="str">
        <f>IFERROR(C156/C156*H155*'Mortgage Calculator'!$C$13/12,"")</f>
        <v/>
      </c>
      <c r="G156" s="82" t="str">
        <f t="shared" si="9"/>
        <v/>
      </c>
      <c r="H156" s="100" t="str">
        <f t="shared" si="10"/>
        <v/>
      </c>
      <c r="I156" s="74"/>
      <c r="J156" s="88" t="str">
        <f t="shared" si="11"/>
        <v/>
      </c>
      <c r="K156" s="73"/>
    </row>
    <row r="157" spans="2:11" x14ac:dyDescent="0.3">
      <c r="B157" s="73"/>
      <c r="C157" s="79" t="str">
        <f t="shared" si="8"/>
        <v/>
      </c>
      <c r="D157" s="80"/>
      <c r="E157" s="81" t="str" cm="1">
        <f t="array" ref="E157">_xlfn.IFS($E$6="First-Line Scenario",IFERROR(C157/C157*'Mortgage Calculator'!$G$25," "),$E$6="Recommendation",IFERROR(C157/C157*'Mortgage Calculator'!$U$28,""))</f>
        <v/>
      </c>
      <c r="F157" s="82" t="str">
        <f>IFERROR(C157/C157*H156*'Mortgage Calculator'!$C$13/12,"")</f>
        <v/>
      </c>
      <c r="G157" s="82" t="str">
        <f t="shared" si="9"/>
        <v/>
      </c>
      <c r="H157" s="100" t="str">
        <f t="shared" si="10"/>
        <v/>
      </c>
      <c r="I157" s="74"/>
      <c r="J157" s="88" t="str">
        <f t="shared" si="11"/>
        <v/>
      </c>
      <c r="K157" s="73"/>
    </row>
    <row r="158" spans="2:11" x14ac:dyDescent="0.3">
      <c r="B158" s="73"/>
      <c r="C158" s="79" t="str">
        <f t="shared" si="8"/>
        <v/>
      </c>
      <c r="D158" s="80"/>
      <c r="E158" s="81" t="str" cm="1">
        <f t="array" ref="E158">_xlfn.IFS($E$6="First-Line Scenario",IFERROR(C158/C158*'Mortgage Calculator'!$G$25," "),$E$6="Recommendation",IFERROR(C158/C158*'Mortgage Calculator'!$U$28,""))</f>
        <v/>
      </c>
      <c r="F158" s="82" t="str">
        <f>IFERROR(C158/C158*H157*'Mortgage Calculator'!$C$13/12,"")</f>
        <v/>
      </c>
      <c r="G158" s="82" t="str">
        <f t="shared" si="9"/>
        <v/>
      </c>
      <c r="H158" s="100" t="str">
        <f t="shared" si="10"/>
        <v/>
      </c>
      <c r="I158" s="74"/>
      <c r="J158" s="88" t="str">
        <f t="shared" si="11"/>
        <v/>
      </c>
      <c r="K158" s="73"/>
    </row>
    <row r="159" spans="2:11" x14ac:dyDescent="0.3">
      <c r="B159" s="73"/>
      <c r="C159" s="79" t="str">
        <f t="shared" si="8"/>
        <v/>
      </c>
      <c r="D159" s="80"/>
      <c r="E159" s="81" t="str" cm="1">
        <f t="array" ref="E159">_xlfn.IFS($E$6="First-Line Scenario",IFERROR(C159/C159*'Mortgage Calculator'!$G$25," "),$E$6="Recommendation",IFERROR(C159/C159*'Mortgage Calculator'!$U$28,""))</f>
        <v/>
      </c>
      <c r="F159" s="82" t="str">
        <f>IFERROR(C159/C159*H158*'Mortgage Calculator'!$C$13/12,"")</f>
        <v/>
      </c>
      <c r="G159" s="82" t="str">
        <f t="shared" si="9"/>
        <v/>
      </c>
      <c r="H159" s="100" t="str">
        <f t="shared" si="10"/>
        <v/>
      </c>
      <c r="I159" s="74"/>
      <c r="J159" s="88" t="str">
        <f t="shared" si="11"/>
        <v/>
      </c>
      <c r="K159" s="73"/>
    </row>
    <row r="160" spans="2:11" x14ac:dyDescent="0.3">
      <c r="B160" s="73"/>
      <c r="C160" s="79" t="str">
        <f t="shared" si="8"/>
        <v/>
      </c>
      <c r="D160" s="80"/>
      <c r="E160" s="81" t="str" cm="1">
        <f t="array" ref="E160">_xlfn.IFS($E$6="First-Line Scenario",IFERROR(C160/C160*'Mortgage Calculator'!$G$25," "),$E$6="Recommendation",IFERROR(C160/C160*'Mortgage Calculator'!$U$28,""))</f>
        <v/>
      </c>
      <c r="F160" s="82" t="str">
        <f>IFERROR(C160/C160*H159*'Mortgage Calculator'!$C$13/12,"")</f>
        <v/>
      </c>
      <c r="G160" s="82" t="str">
        <f t="shared" si="9"/>
        <v/>
      </c>
      <c r="H160" s="100" t="str">
        <f t="shared" si="10"/>
        <v/>
      </c>
      <c r="I160" s="74"/>
      <c r="J160" s="88" t="str">
        <f t="shared" si="11"/>
        <v/>
      </c>
      <c r="K160" s="73"/>
    </row>
    <row r="161" spans="2:11" x14ac:dyDescent="0.3">
      <c r="B161" s="73"/>
      <c r="C161" s="79" t="str">
        <f t="shared" si="8"/>
        <v/>
      </c>
      <c r="D161" s="80"/>
      <c r="E161" s="81" t="str" cm="1">
        <f t="array" ref="E161">_xlfn.IFS($E$6="First-Line Scenario",IFERROR(C161/C161*'Mortgage Calculator'!$G$25," "),$E$6="Recommendation",IFERROR(C161/C161*'Mortgage Calculator'!$U$28,""))</f>
        <v/>
      </c>
      <c r="F161" s="82" t="str">
        <f>IFERROR(C161/C161*H160*'Mortgage Calculator'!$C$13/12,"")</f>
        <v/>
      </c>
      <c r="G161" s="82" t="str">
        <f t="shared" si="9"/>
        <v/>
      </c>
      <c r="H161" s="100" t="str">
        <f t="shared" si="10"/>
        <v/>
      </c>
      <c r="I161" s="74"/>
      <c r="J161" s="88" t="str">
        <f t="shared" si="11"/>
        <v/>
      </c>
      <c r="K161" s="73"/>
    </row>
    <row r="162" spans="2:11" x14ac:dyDescent="0.3">
      <c r="B162" s="73"/>
      <c r="C162" s="79" t="str">
        <f t="shared" si="8"/>
        <v/>
      </c>
      <c r="D162" s="80"/>
      <c r="E162" s="81" t="str" cm="1">
        <f t="array" ref="E162">_xlfn.IFS($E$6="First-Line Scenario",IFERROR(C162/C162*'Mortgage Calculator'!$G$25," "),$E$6="Recommendation",IFERROR(C162/C162*'Mortgage Calculator'!$U$28,""))</f>
        <v/>
      </c>
      <c r="F162" s="82" t="str">
        <f>IFERROR(C162/C162*H161*'Mortgage Calculator'!$C$13/12,"")</f>
        <v/>
      </c>
      <c r="G162" s="82" t="str">
        <f t="shared" si="9"/>
        <v/>
      </c>
      <c r="H162" s="100" t="str">
        <f t="shared" si="10"/>
        <v/>
      </c>
      <c r="I162" s="74"/>
      <c r="J162" s="88" t="str">
        <f t="shared" si="11"/>
        <v/>
      </c>
      <c r="K162" s="73"/>
    </row>
    <row r="163" spans="2:11" x14ac:dyDescent="0.3">
      <c r="B163" s="73"/>
      <c r="C163" s="79" t="str">
        <f t="shared" si="8"/>
        <v/>
      </c>
      <c r="D163" s="80"/>
      <c r="E163" s="81" t="str" cm="1">
        <f t="array" ref="E163">_xlfn.IFS($E$6="First-Line Scenario",IFERROR(C163/C163*'Mortgage Calculator'!$G$25," "),$E$6="Recommendation",IFERROR(C163/C163*'Mortgage Calculator'!$U$28,""))</f>
        <v/>
      </c>
      <c r="F163" s="82" t="str">
        <f>IFERROR(C163/C163*H162*'Mortgage Calculator'!$C$13/12,"")</f>
        <v/>
      </c>
      <c r="G163" s="82" t="str">
        <f t="shared" si="9"/>
        <v/>
      </c>
      <c r="H163" s="100" t="str">
        <f t="shared" si="10"/>
        <v/>
      </c>
      <c r="I163" s="74"/>
      <c r="J163" s="88" t="str">
        <f t="shared" si="11"/>
        <v/>
      </c>
      <c r="K163" s="73"/>
    </row>
    <row r="164" spans="2:11" x14ac:dyDescent="0.3">
      <c r="B164" s="73"/>
      <c r="C164" s="79" t="str">
        <f t="shared" si="8"/>
        <v/>
      </c>
      <c r="D164" s="80"/>
      <c r="E164" s="81" t="str" cm="1">
        <f t="array" ref="E164">_xlfn.IFS($E$6="First-Line Scenario",IFERROR(C164/C164*'Mortgage Calculator'!$G$25," "),$E$6="Recommendation",IFERROR(C164/C164*'Mortgage Calculator'!$U$28,""))</f>
        <v/>
      </c>
      <c r="F164" s="82" t="str">
        <f>IFERROR(C164/C164*H163*'Mortgage Calculator'!$C$13/12,"")</f>
        <v/>
      </c>
      <c r="G164" s="82" t="str">
        <f t="shared" si="9"/>
        <v/>
      </c>
      <c r="H164" s="100" t="str">
        <f t="shared" si="10"/>
        <v/>
      </c>
      <c r="I164" s="74"/>
      <c r="J164" s="88" t="str">
        <f t="shared" si="11"/>
        <v/>
      </c>
      <c r="K164" s="73"/>
    </row>
    <row r="165" spans="2:11" x14ac:dyDescent="0.3">
      <c r="B165" s="73"/>
      <c r="C165" s="79" t="str">
        <f t="shared" si="8"/>
        <v/>
      </c>
      <c r="D165" s="80"/>
      <c r="E165" s="81" t="str" cm="1">
        <f t="array" ref="E165">_xlfn.IFS($E$6="First-Line Scenario",IFERROR(C165/C165*'Mortgage Calculator'!$G$25," "),$E$6="Recommendation",IFERROR(C165/C165*'Mortgage Calculator'!$U$28,""))</f>
        <v/>
      </c>
      <c r="F165" s="82" t="str">
        <f>IFERROR(C165/C165*H164*'Mortgage Calculator'!$C$13/12,"")</f>
        <v/>
      </c>
      <c r="G165" s="82" t="str">
        <f t="shared" si="9"/>
        <v/>
      </c>
      <c r="H165" s="100" t="str">
        <f t="shared" si="10"/>
        <v/>
      </c>
      <c r="I165" s="74"/>
      <c r="J165" s="88" t="str">
        <f t="shared" si="11"/>
        <v/>
      </c>
      <c r="K165" s="73"/>
    </row>
    <row r="166" spans="2:11" x14ac:dyDescent="0.3">
      <c r="B166" s="73"/>
      <c r="C166" s="79" t="str">
        <f t="shared" si="8"/>
        <v/>
      </c>
      <c r="D166" s="80"/>
      <c r="E166" s="81" t="str" cm="1">
        <f t="array" ref="E166">_xlfn.IFS($E$6="First-Line Scenario",IFERROR(C166/C166*'Mortgage Calculator'!$G$25," "),$E$6="Recommendation",IFERROR(C166/C166*'Mortgage Calculator'!$U$28,""))</f>
        <v/>
      </c>
      <c r="F166" s="82" t="str">
        <f>IFERROR(C166/C166*H165*'Mortgage Calculator'!$C$13/12,"")</f>
        <v/>
      </c>
      <c r="G166" s="82" t="str">
        <f t="shared" si="9"/>
        <v/>
      </c>
      <c r="H166" s="100" t="str">
        <f t="shared" si="10"/>
        <v/>
      </c>
      <c r="I166" s="74"/>
      <c r="J166" s="88" t="str">
        <f t="shared" si="11"/>
        <v/>
      </c>
      <c r="K166" s="73"/>
    </row>
    <row r="167" spans="2:11" x14ac:dyDescent="0.3">
      <c r="B167" s="73"/>
      <c r="C167" s="79" t="str">
        <f t="shared" si="8"/>
        <v/>
      </c>
      <c r="D167" s="80"/>
      <c r="E167" s="81" t="str" cm="1">
        <f t="array" ref="E167">_xlfn.IFS($E$6="First-Line Scenario",IFERROR(C167/C167*'Mortgage Calculator'!$G$25," "),$E$6="Recommendation",IFERROR(C167/C167*'Mortgage Calculator'!$U$28,""))</f>
        <v/>
      </c>
      <c r="F167" s="82" t="str">
        <f>IFERROR(C167/C167*H166*'Mortgage Calculator'!$C$13/12,"")</f>
        <v/>
      </c>
      <c r="G167" s="82" t="str">
        <f t="shared" si="9"/>
        <v/>
      </c>
      <c r="H167" s="100" t="str">
        <f t="shared" si="10"/>
        <v/>
      </c>
      <c r="I167" s="74"/>
      <c r="J167" s="88" t="str">
        <f t="shared" si="11"/>
        <v/>
      </c>
      <c r="K167" s="73"/>
    </row>
    <row r="168" spans="2:11" x14ac:dyDescent="0.3">
      <c r="B168" s="73"/>
      <c r="C168" s="79" t="str">
        <f t="shared" si="8"/>
        <v/>
      </c>
      <c r="D168" s="80"/>
      <c r="E168" s="81" t="str" cm="1">
        <f t="array" ref="E168">_xlfn.IFS($E$6="First-Line Scenario",IFERROR(C168/C168*'Mortgage Calculator'!$G$25," "),$E$6="Recommendation",IFERROR(C168/C168*'Mortgage Calculator'!$U$28,""))</f>
        <v/>
      </c>
      <c r="F168" s="82" t="str">
        <f>IFERROR(C168/C168*H167*'Mortgage Calculator'!$C$13/12,"")</f>
        <v/>
      </c>
      <c r="G168" s="82" t="str">
        <f t="shared" si="9"/>
        <v/>
      </c>
      <c r="H168" s="100" t="str">
        <f t="shared" si="10"/>
        <v/>
      </c>
      <c r="I168" s="74"/>
      <c r="J168" s="88" t="str">
        <f t="shared" si="11"/>
        <v/>
      </c>
      <c r="K168" s="73"/>
    </row>
    <row r="169" spans="2:11" x14ac:dyDescent="0.3">
      <c r="B169" s="73"/>
      <c r="C169" s="79" t="str">
        <f t="shared" si="8"/>
        <v/>
      </c>
      <c r="D169" s="80"/>
      <c r="E169" s="81" t="str" cm="1">
        <f t="array" ref="E169">_xlfn.IFS($E$6="First-Line Scenario",IFERROR(C169/C169*'Mortgage Calculator'!$G$25," "),$E$6="Recommendation",IFERROR(C169/C169*'Mortgage Calculator'!$U$28,""))</f>
        <v/>
      </c>
      <c r="F169" s="82" t="str">
        <f>IFERROR(C169/C169*H168*'Mortgage Calculator'!$C$13/12,"")</f>
        <v/>
      </c>
      <c r="G169" s="82" t="str">
        <f t="shared" si="9"/>
        <v/>
      </c>
      <c r="H169" s="100" t="str">
        <f t="shared" si="10"/>
        <v/>
      </c>
      <c r="I169" s="74"/>
      <c r="J169" s="88" t="str">
        <f t="shared" si="11"/>
        <v/>
      </c>
      <c r="K169" s="73"/>
    </row>
    <row r="170" spans="2:11" x14ac:dyDescent="0.3">
      <c r="B170" s="73"/>
      <c r="C170" s="79" t="str">
        <f t="shared" si="8"/>
        <v/>
      </c>
      <c r="D170" s="80"/>
      <c r="E170" s="81" t="str" cm="1">
        <f t="array" ref="E170">_xlfn.IFS($E$6="First-Line Scenario",IFERROR(C170/C170*'Mortgage Calculator'!$G$25," "),$E$6="Recommendation",IFERROR(C170/C170*'Mortgage Calculator'!$U$28,""))</f>
        <v/>
      </c>
      <c r="F170" s="82" t="str">
        <f>IFERROR(C170/C170*H169*'Mortgage Calculator'!$C$13/12,"")</f>
        <v/>
      </c>
      <c r="G170" s="82" t="str">
        <f t="shared" si="9"/>
        <v/>
      </c>
      <c r="H170" s="100" t="str">
        <f t="shared" si="10"/>
        <v/>
      </c>
      <c r="I170" s="74"/>
      <c r="J170" s="88" t="str">
        <f t="shared" si="11"/>
        <v/>
      </c>
      <c r="K170" s="73"/>
    </row>
    <row r="171" spans="2:11" x14ac:dyDescent="0.3">
      <c r="B171" s="73"/>
      <c r="C171" s="79" t="str">
        <f t="shared" si="8"/>
        <v/>
      </c>
      <c r="D171" s="80"/>
      <c r="E171" s="81" t="str" cm="1">
        <f t="array" ref="E171">_xlfn.IFS($E$6="First-Line Scenario",IFERROR(C171/C171*'Mortgage Calculator'!$G$25," "),$E$6="Recommendation",IFERROR(C171/C171*'Mortgage Calculator'!$U$28,""))</f>
        <v/>
      </c>
      <c r="F171" s="82" t="str">
        <f>IFERROR(C171/C171*H170*'Mortgage Calculator'!$C$13/12,"")</f>
        <v/>
      </c>
      <c r="G171" s="82" t="str">
        <f t="shared" si="9"/>
        <v/>
      </c>
      <c r="H171" s="100" t="str">
        <f t="shared" si="10"/>
        <v/>
      </c>
      <c r="I171" s="74"/>
      <c r="J171" s="88" t="str">
        <f t="shared" si="11"/>
        <v/>
      </c>
      <c r="K171" s="73"/>
    </row>
    <row r="172" spans="2:11" x14ac:dyDescent="0.3">
      <c r="B172" s="73"/>
      <c r="C172" s="79" t="str">
        <f t="shared" si="8"/>
        <v/>
      </c>
      <c r="D172" s="80"/>
      <c r="E172" s="81" t="str" cm="1">
        <f t="array" ref="E172">_xlfn.IFS($E$6="First-Line Scenario",IFERROR(C172/C172*'Mortgage Calculator'!$G$25," "),$E$6="Recommendation",IFERROR(C172/C172*'Mortgage Calculator'!$U$28,""))</f>
        <v/>
      </c>
      <c r="F172" s="82" t="str">
        <f>IFERROR(C172/C172*H171*'Mortgage Calculator'!$C$13/12,"")</f>
        <v/>
      </c>
      <c r="G172" s="82" t="str">
        <f t="shared" si="9"/>
        <v/>
      </c>
      <c r="H172" s="100" t="str">
        <f t="shared" si="10"/>
        <v/>
      </c>
      <c r="I172" s="74"/>
      <c r="J172" s="88" t="str">
        <f t="shared" si="11"/>
        <v/>
      </c>
      <c r="K172" s="73"/>
    </row>
    <row r="173" spans="2:11" x14ac:dyDescent="0.3">
      <c r="B173" s="73"/>
      <c r="C173" s="79" t="str">
        <f t="shared" si="8"/>
        <v/>
      </c>
      <c r="D173" s="80"/>
      <c r="E173" s="81" t="str" cm="1">
        <f t="array" ref="E173">_xlfn.IFS($E$6="First-Line Scenario",IFERROR(C173/C173*'Mortgage Calculator'!$G$25," "),$E$6="Recommendation",IFERROR(C173/C173*'Mortgage Calculator'!$U$28,""))</f>
        <v/>
      </c>
      <c r="F173" s="82" t="str">
        <f>IFERROR(C173/C173*H172*'Mortgage Calculator'!$C$13/12,"")</f>
        <v/>
      </c>
      <c r="G173" s="82" t="str">
        <f t="shared" si="9"/>
        <v/>
      </c>
      <c r="H173" s="100" t="str">
        <f t="shared" si="10"/>
        <v/>
      </c>
      <c r="I173" s="74"/>
      <c r="J173" s="88" t="str">
        <f t="shared" si="11"/>
        <v/>
      </c>
      <c r="K173" s="73"/>
    </row>
    <row r="174" spans="2:11" x14ac:dyDescent="0.3">
      <c r="B174" s="73"/>
      <c r="C174" s="79" t="str">
        <f t="shared" si="8"/>
        <v/>
      </c>
      <c r="D174" s="80"/>
      <c r="E174" s="81" t="str" cm="1">
        <f t="array" ref="E174">_xlfn.IFS($E$6="First-Line Scenario",IFERROR(C174/C174*'Mortgage Calculator'!$G$25," "),$E$6="Recommendation",IFERROR(C174/C174*'Mortgage Calculator'!$U$28,""))</f>
        <v/>
      </c>
      <c r="F174" s="82" t="str">
        <f>IFERROR(C174/C174*H173*'Mortgage Calculator'!$C$13/12,"")</f>
        <v/>
      </c>
      <c r="G174" s="82" t="str">
        <f t="shared" si="9"/>
        <v/>
      </c>
      <c r="H174" s="100" t="str">
        <f t="shared" si="10"/>
        <v/>
      </c>
      <c r="I174" s="74"/>
      <c r="J174" s="88" t="str">
        <f t="shared" si="11"/>
        <v/>
      </c>
      <c r="K174" s="73"/>
    </row>
    <row r="175" spans="2:11" x14ac:dyDescent="0.3">
      <c r="B175" s="73"/>
      <c r="C175" s="79" t="str">
        <f t="shared" si="8"/>
        <v/>
      </c>
      <c r="D175" s="80"/>
      <c r="E175" s="81" t="str" cm="1">
        <f t="array" ref="E175">_xlfn.IFS($E$6="First-Line Scenario",IFERROR(C175/C175*'Mortgage Calculator'!$G$25," "),$E$6="Recommendation",IFERROR(C175/C175*'Mortgage Calculator'!$U$28,""))</f>
        <v/>
      </c>
      <c r="F175" s="82" t="str">
        <f>IFERROR(C175/C175*H174*'Mortgage Calculator'!$C$13/12,"")</f>
        <v/>
      </c>
      <c r="G175" s="82" t="str">
        <f t="shared" si="9"/>
        <v/>
      </c>
      <c r="H175" s="100" t="str">
        <f t="shared" si="10"/>
        <v/>
      </c>
      <c r="I175" s="74"/>
      <c r="J175" s="88" t="str">
        <f t="shared" si="11"/>
        <v/>
      </c>
      <c r="K175" s="73"/>
    </row>
    <row r="176" spans="2:11" x14ac:dyDescent="0.3">
      <c r="B176" s="73"/>
      <c r="C176" s="79" t="str">
        <f t="shared" si="8"/>
        <v/>
      </c>
      <c r="D176" s="80"/>
      <c r="E176" s="81" t="str" cm="1">
        <f t="array" ref="E176">_xlfn.IFS($E$6="First-Line Scenario",IFERROR(C176/C176*'Mortgage Calculator'!$G$25," "),$E$6="Recommendation",IFERROR(C176/C176*'Mortgage Calculator'!$U$28,""))</f>
        <v/>
      </c>
      <c r="F176" s="82" t="str">
        <f>IFERROR(C176/C176*H175*'Mortgage Calculator'!$C$13/12,"")</f>
        <v/>
      </c>
      <c r="G176" s="82" t="str">
        <f t="shared" si="9"/>
        <v/>
      </c>
      <c r="H176" s="100" t="str">
        <f t="shared" si="10"/>
        <v/>
      </c>
      <c r="I176" s="74"/>
      <c r="J176" s="88" t="str">
        <f t="shared" si="11"/>
        <v/>
      </c>
      <c r="K176" s="73"/>
    </row>
    <row r="177" spans="2:11" x14ac:dyDescent="0.3">
      <c r="B177" s="73"/>
      <c r="C177" s="79" t="str">
        <f t="shared" si="8"/>
        <v/>
      </c>
      <c r="D177" s="80"/>
      <c r="E177" s="81" t="str" cm="1">
        <f t="array" ref="E177">_xlfn.IFS($E$6="First-Line Scenario",IFERROR(C177/C177*'Mortgage Calculator'!$G$25," "),$E$6="Recommendation",IFERROR(C177/C177*'Mortgage Calculator'!$U$28,""))</f>
        <v/>
      </c>
      <c r="F177" s="82" t="str">
        <f>IFERROR(C177/C177*H176*'Mortgage Calculator'!$C$13/12,"")</f>
        <v/>
      </c>
      <c r="G177" s="82" t="str">
        <f t="shared" si="9"/>
        <v/>
      </c>
      <c r="H177" s="100" t="str">
        <f t="shared" si="10"/>
        <v/>
      </c>
      <c r="I177" s="74"/>
      <c r="J177" s="88" t="str">
        <f t="shared" si="11"/>
        <v/>
      </c>
      <c r="K177" s="73"/>
    </row>
    <row r="178" spans="2:11" x14ac:dyDescent="0.3">
      <c r="B178" s="73"/>
      <c r="C178" s="79" t="str">
        <f t="shared" si="8"/>
        <v/>
      </c>
      <c r="D178" s="80"/>
      <c r="E178" s="81" t="str" cm="1">
        <f t="array" ref="E178">_xlfn.IFS($E$6="First-Line Scenario",IFERROR(C178/C178*'Mortgage Calculator'!$G$25," "),$E$6="Recommendation",IFERROR(C178/C178*'Mortgage Calculator'!$U$28,""))</f>
        <v/>
      </c>
      <c r="F178" s="82" t="str">
        <f>IFERROR(C178/C178*H177*'Mortgage Calculator'!$C$13/12,"")</f>
        <v/>
      </c>
      <c r="G178" s="82" t="str">
        <f t="shared" si="9"/>
        <v/>
      </c>
      <c r="H178" s="100" t="str">
        <f t="shared" si="10"/>
        <v/>
      </c>
      <c r="I178" s="74"/>
      <c r="J178" s="88" t="str">
        <f t="shared" si="11"/>
        <v/>
      </c>
      <c r="K178" s="73"/>
    </row>
    <row r="179" spans="2:11" x14ac:dyDescent="0.3">
      <c r="B179" s="73"/>
      <c r="C179" s="79" t="str">
        <f t="shared" si="8"/>
        <v/>
      </c>
      <c r="D179" s="80"/>
      <c r="E179" s="81" t="str" cm="1">
        <f t="array" ref="E179">_xlfn.IFS($E$6="First-Line Scenario",IFERROR(C179/C179*'Mortgage Calculator'!$G$25," "),$E$6="Recommendation",IFERROR(C179/C179*'Mortgage Calculator'!$U$28,""))</f>
        <v/>
      </c>
      <c r="F179" s="82" t="str">
        <f>IFERROR(C179/C179*H178*'Mortgage Calculator'!$C$13/12,"")</f>
        <v/>
      </c>
      <c r="G179" s="82" t="str">
        <f t="shared" si="9"/>
        <v/>
      </c>
      <c r="H179" s="100" t="str">
        <f t="shared" si="10"/>
        <v/>
      </c>
      <c r="I179" s="74"/>
      <c r="J179" s="88" t="str">
        <f t="shared" si="11"/>
        <v/>
      </c>
      <c r="K179" s="73"/>
    </row>
    <row r="180" spans="2:11" x14ac:dyDescent="0.3">
      <c r="B180" s="73"/>
      <c r="C180" s="79" t="str">
        <f t="shared" si="8"/>
        <v/>
      </c>
      <c r="D180" s="80"/>
      <c r="E180" s="81" t="str" cm="1">
        <f t="array" ref="E180">_xlfn.IFS($E$6="First-Line Scenario",IFERROR(C180/C180*'Mortgage Calculator'!$G$25," "),$E$6="Recommendation",IFERROR(C180/C180*'Mortgage Calculator'!$U$28,""))</f>
        <v/>
      </c>
      <c r="F180" s="82" t="str">
        <f>IFERROR(C180/C180*H179*'Mortgage Calculator'!$C$13/12,"")</f>
        <v/>
      </c>
      <c r="G180" s="82" t="str">
        <f t="shared" si="9"/>
        <v/>
      </c>
      <c r="H180" s="100" t="str">
        <f t="shared" si="10"/>
        <v/>
      </c>
      <c r="I180" s="74"/>
      <c r="J180" s="88" t="str">
        <f t="shared" si="11"/>
        <v/>
      </c>
      <c r="K180" s="73"/>
    </row>
    <row r="181" spans="2:11" x14ac:dyDescent="0.3">
      <c r="B181" s="73"/>
      <c r="C181" s="79" t="str">
        <f t="shared" si="8"/>
        <v/>
      </c>
      <c r="D181" s="80"/>
      <c r="E181" s="81" t="str" cm="1">
        <f t="array" ref="E181">_xlfn.IFS($E$6="First-Line Scenario",IFERROR(C181/C181*'Mortgage Calculator'!$G$25," "),$E$6="Recommendation",IFERROR(C181/C181*'Mortgage Calculator'!$U$28,""))</f>
        <v/>
      </c>
      <c r="F181" s="82" t="str">
        <f>IFERROR(C181/C181*H180*'Mortgage Calculator'!$C$13/12,"")</f>
        <v/>
      </c>
      <c r="G181" s="82" t="str">
        <f t="shared" si="9"/>
        <v/>
      </c>
      <c r="H181" s="100" t="str">
        <f t="shared" si="10"/>
        <v/>
      </c>
      <c r="I181" s="74"/>
      <c r="J181" s="88" t="str">
        <f t="shared" si="11"/>
        <v/>
      </c>
      <c r="K181" s="73"/>
    </row>
    <row r="182" spans="2:11" x14ac:dyDescent="0.3">
      <c r="B182" s="73"/>
      <c r="C182" s="79" t="str">
        <f t="shared" si="8"/>
        <v/>
      </c>
      <c r="D182" s="80"/>
      <c r="E182" s="81" t="str" cm="1">
        <f t="array" ref="E182">_xlfn.IFS($E$6="First-Line Scenario",IFERROR(C182/C182*'Mortgage Calculator'!$G$25," "),$E$6="Recommendation",IFERROR(C182/C182*'Mortgage Calculator'!$U$28,""))</f>
        <v/>
      </c>
      <c r="F182" s="82" t="str">
        <f>IFERROR(C182/C182*H181*'Mortgage Calculator'!$C$13/12,"")</f>
        <v/>
      </c>
      <c r="G182" s="82" t="str">
        <f t="shared" si="9"/>
        <v/>
      </c>
      <c r="H182" s="100" t="str">
        <f t="shared" si="10"/>
        <v/>
      </c>
      <c r="I182" s="74"/>
      <c r="J182" s="88" t="str">
        <f t="shared" si="11"/>
        <v/>
      </c>
      <c r="K182" s="73"/>
    </row>
    <row r="183" spans="2:11" x14ac:dyDescent="0.3">
      <c r="B183" s="73"/>
      <c r="C183" s="79" t="str">
        <f t="shared" si="8"/>
        <v/>
      </c>
      <c r="D183" s="80"/>
      <c r="E183" s="81" t="str" cm="1">
        <f t="array" ref="E183">_xlfn.IFS($E$6="First-Line Scenario",IFERROR(C183/C183*'Mortgage Calculator'!$G$25," "),$E$6="Recommendation",IFERROR(C183/C183*'Mortgage Calculator'!$U$28,""))</f>
        <v/>
      </c>
      <c r="F183" s="82" t="str">
        <f>IFERROR(C183/C183*H182*'Mortgage Calculator'!$C$13/12,"")</f>
        <v/>
      </c>
      <c r="G183" s="82" t="str">
        <f t="shared" si="9"/>
        <v/>
      </c>
      <c r="H183" s="100" t="str">
        <f t="shared" si="10"/>
        <v/>
      </c>
      <c r="I183" s="74"/>
      <c r="J183" s="88" t="str">
        <f t="shared" si="11"/>
        <v/>
      </c>
      <c r="K183" s="73"/>
    </row>
    <row r="184" spans="2:11" x14ac:dyDescent="0.3">
      <c r="B184" s="73"/>
      <c r="C184" s="79" t="str">
        <f t="shared" si="8"/>
        <v/>
      </c>
      <c r="D184" s="80"/>
      <c r="E184" s="81" t="str" cm="1">
        <f t="array" ref="E184">_xlfn.IFS($E$6="First-Line Scenario",IFERROR(C184/C184*'Mortgage Calculator'!$G$25," "),$E$6="Recommendation",IFERROR(C184/C184*'Mortgage Calculator'!$U$28,""))</f>
        <v/>
      </c>
      <c r="F184" s="82" t="str">
        <f>IFERROR(C184/C184*H183*'Mortgage Calculator'!$C$13/12,"")</f>
        <v/>
      </c>
      <c r="G184" s="82" t="str">
        <f t="shared" si="9"/>
        <v/>
      </c>
      <c r="H184" s="100" t="str">
        <f t="shared" si="10"/>
        <v/>
      </c>
      <c r="I184" s="74"/>
      <c r="J184" s="88" t="str">
        <f t="shared" si="11"/>
        <v/>
      </c>
      <c r="K184" s="73"/>
    </row>
    <row r="185" spans="2:11" x14ac:dyDescent="0.3">
      <c r="B185" s="73"/>
      <c r="C185" s="79" t="str">
        <f t="shared" si="8"/>
        <v/>
      </c>
      <c r="D185" s="80"/>
      <c r="E185" s="81" t="str" cm="1">
        <f t="array" ref="E185">_xlfn.IFS($E$6="First-Line Scenario",IFERROR(C185/C185*'Mortgage Calculator'!$G$25," "),$E$6="Recommendation",IFERROR(C185/C185*'Mortgage Calculator'!$U$28,""))</f>
        <v/>
      </c>
      <c r="F185" s="82" t="str">
        <f>IFERROR(C185/C185*H184*'Mortgage Calculator'!$C$13/12,"")</f>
        <v/>
      </c>
      <c r="G185" s="82" t="str">
        <f t="shared" si="9"/>
        <v/>
      </c>
      <c r="H185" s="100" t="str">
        <f t="shared" si="10"/>
        <v/>
      </c>
      <c r="I185" s="74"/>
      <c r="J185" s="88" t="str">
        <f t="shared" si="11"/>
        <v/>
      </c>
      <c r="K185" s="73"/>
    </row>
    <row r="186" spans="2:11" x14ac:dyDescent="0.3">
      <c r="B186" s="73"/>
      <c r="C186" s="79" t="str">
        <f t="shared" si="8"/>
        <v/>
      </c>
      <c r="D186" s="80"/>
      <c r="E186" s="81" t="str" cm="1">
        <f t="array" ref="E186">_xlfn.IFS($E$6="First-Line Scenario",IFERROR(C186/C186*'Mortgage Calculator'!$G$25," "),$E$6="Recommendation",IFERROR(C186/C186*'Mortgage Calculator'!$U$28,""))</f>
        <v/>
      </c>
      <c r="F186" s="82" t="str">
        <f>IFERROR(C186/C186*H185*'Mortgage Calculator'!$C$13/12,"")</f>
        <v/>
      </c>
      <c r="G186" s="82" t="str">
        <f t="shared" si="9"/>
        <v/>
      </c>
      <c r="H186" s="100" t="str">
        <f t="shared" si="10"/>
        <v/>
      </c>
      <c r="I186" s="74"/>
      <c r="J186" s="88" t="str">
        <f t="shared" si="11"/>
        <v/>
      </c>
      <c r="K186" s="73"/>
    </row>
    <row r="187" spans="2:11" x14ac:dyDescent="0.3">
      <c r="B187" s="73"/>
      <c r="C187" s="79" t="str">
        <f t="shared" si="8"/>
        <v/>
      </c>
      <c r="D187" s="80"/>
      <c r="E187" s="81" t="str" cm="1">
        <f t="array" ref="E187">_xlfn.IFS($E$6="First-Line Scenario",IFERROR(C187/C187*'Mortgage Calculator'!$G$25," "),$E$6="Recommendation",IFERROR(C187/C187*'Mortgage Calculator'!$U$28,""))</f>
        <v/>
      </c>
      <c r="F187" s="82" t="str">
        <f>IFERROR(C187/C187*H186*'Mortgage Calculator'!$C$13/12,"")</f>
        <v/>
      </c>
      <c r="G187" s="82" t="str">
        <f t="shared" si="9"/>
        <v/>
      </c>
      <c r="H187" s="100" t="str">
        <f t="shared" si="10"/>
        <v/>
      </c>
      <c r="I187" s="74"/>
      <c r="J187" s="88" t="str">
        <f t="shared" si="11"/>
        <v/>
      </c>
      <c r="K187" s="73"/>
    </row>
    <row r="188" spans="2:11" x14ac:dyDescent="0.3">
      <c r="B188" s="73"/>
      <c r="C188" s="79" t="str">
        <f t="shared" si="8"/>
        <v/>
      </c>
      <c r="D188" s="80"/>
      <c r="E188" s="81" t="str" cm="1">
        <f t="array" ref="E188">_xlfn.IFS($E$6="First-Line Scenario",IFERROR(C188/C188*'Mortgage Calculator'!$G$25," "),$E$6="Recommendation",IFERROR(C188/C188*'Mortgage Calculator'!$U$28,""))</f>
        <v/>
      </c>
      <c r="F188" s="82" t="str">
        <f>IFERROR(C188/C188*H187*'Mortgage Calculator'!$C$13/12,"")</f>
        <v/>
      </c>
      <c r="G188" s="82" t="str">
        <f t="shared" si="9"/>
        <v/>
      </c>
      <c r="H188" s="100" t="str">
        <f t="shared" si="10"/>
        <v/>
      </c>
      <c r="I188" s="74"/>
      <c r="J188" s="88" t="str">
        <f t="shared" si="11"/>
        <v/>
      </c>
      <c r="K188" s="73"/>
    </row>
    <row r="189" spans="2:11" x14ac:dyDescent="0.3">
      <c r="B189" s="73"/>
      <c r="C189" s="79" t="str">
        <f t="shared" si="8"/>
        <v/>
      </c>
      <c r="D189" s="80"/>
      <c r="E189" s="81" t="str" cm="1">
        <f t="array" ref="E189">_xlfn.IFS($E$6="First-Line Scenario",IFERROR(C189/C189*'Mortgage Calculator'!$G$25," "),$E$6="Recommendation",IFERROR(C189/C189*'Mortgage Calculator'!$U$28,""))</f>
        <v/>
      </c>
      <c r="F189" s="82" t="str">
        <f>IFERROR(C189/C189*H188*'Mortgage Calculator'!$C$13/12,"")</f>
        <v/>
      </c>
      <c r="G189" s="82" t="str">
        <f t="shared" si="9"/>
        <v/>
      </c>
      <c r="H189" s="100" t="str">
        <f t="shared" si="10"/>
        <v/>
      </c>
      <c r="I189" s="74"/>
      <c r="J189" s="88" t="str">
        <f t="shared" si="11"/>
        <v/>
      </c>
      <c r="K189" s="73"/>
    </row>
    <row r="190" spans="2:11" x14ac:dyDescent="0.3">
      <c r="B190" s="73"/>
      <c r="C190" s="79" t="str">
        <f t="shared" si="8"/>
        <v/>
      </c>
      <c r="D190" s="80"/>
      <c r="E190" s="81" t="str" cm="1">
        <f t="array" ref="E190">_xlfn.IFS($E$6="First-Line Scenario",IFERROR(C190/C190*'Mortgage Calculator'!$G$25," "),$E$6="Recommendation",IFERROR(C190/C190*'Mortgage Calculator'!$U$28,""))</f>
        <v/>
      </c>
      <c r="F190" s="82" t="str">
        <f>IFERROR(C190/C190*H189*'Mortgage Calculator'!$C$13/12,"")</f>
        <v/>
      </c>
      <c r="G190" s="82" t="str">
        <f t="shared" si="9"/>
        <v/>
      </c>
      <c r="H190" s="100" t="str">
        <f t="shared" si="10"/>
        <v/>
      </c>
      <c r="I190" s="74"/>
      <c r="J190" s="88" t="str">
        <f t="shared" si="11"/>
        <v/>
      </c>
      <c r="K190" s="73"/>
    </row>
    <row r="191" spans="2:11" x14ac:dyDescent="0.3">
      <c r="B191" s="73"/>
      <c r="C191" s="79" t="str">
        <f t="shared" si="8"/>
        <v/>
      </c>
      <c r="D191" s="80"/>
      <c r="E191" s="81" t="str" cm="1">
        <f t="array" ref="E191">_xlfn.IFS($E$6="First-Line Scenario",IFERROR(C191/C191*'Mortgage Calculator'!$G$25," "),$E$6="Recommendation",IFERROR(C191/C191*'Mortgage Calculator'!$U$28,""))</f>
        <v/>
      </c>
      <c r="F191" s="82" t="str">
        <f>IFERROR(C191/C191*H190*'Mortgage Calculator'!$C$13/12,"")</f>
        <v/>
      </c>
      <c r="G191" s="82" t="str">
        <f t="shared" si="9"/>
        <v/>
      </c>
      <c r="H191" s="100" t="str">
        <f t="shared" si="10"/>
        <v/>
      </c>
      <c r="I191" s="74"/>
      <c r="J191" s="88" t="str">
        <f t="shared" si="11"/>
        <v/>
      </c>
      <c r="K191" s="73"/>
    </row>
    <row r="192" spans="2:11" x14ac:dyDescent="0.3">
      <c r="B192" s="73"/>
      <c r="C192" s="79" t="str">
        <f t="shared" si="8"/>
        <v/>
      </c>
      <c r="D192" s="80"/>
      <c r="E192" s="81" t="str" cm="1">
        <f t="array" ref="E192">_xlfn.IFS($E$6="First-Line Scenario",IFERROR(C192/C192*'Mortgage Calculator'!$G$25," "),$E$6="Recommendation",IFERROR(C192/C192*'Mortgage Calculator'!$U$28,""))</f>
        <v/>
      </c>
      <c r="F192" s="82" t="str">
        <f>IFERROR(C192/C192*H191*'Mortgage Calculator'!$C$13/12,"")</f>
        <v/>
      </c>
      <c r="G192" s="82" t="str">
        <f t="shared" si="9"/>
        <v/>
      </c>
      <c r="H192" s="100" t="str">
        <f t="shared" si="10"/>
        <v/>
      </c>
      <c r="I192" s="74"/>
      <c r="J192" s="88" t="str">
        <f t="shared" si="11"/>
        <v/>
      </c>
      <c r="K192" s="73"/>
    </row>
    <row r="193" spans="2:11" x14ac:dyDescent="0.3">
      <c r="B193" s="73"/>
      <c r="C193" s="79" t="str">
        <f t="shared" si="8"/>
        <v/>
      </c>
      <c r="D193" s="80"/>
      <c r="E193" s="81" t="str" cm="1">
        <f t="array" ref="E193">_xlfn.IFS($E$6="First-Line Scenario",IFERROR(C193/C193*'Mortgage Calculator'!$G$25," "),$E$6="Recommendation",IFERROR(C193/C193*'Mortgage Calculator'!$U$28,""))</f>
        <v/>
      </c>
      <c r="F193" s="82" t="str">
        <f>IFERROR(C193/C193*H192*'Mortgage Calculator'!$C$13/12,"")</f>
        <v/>
      </c>
      <c r="G193" s="82" t="str">
        <f t="shared" si="9"/>
        <v/>
      </c>
      <c r="H193" s="100" t="str">
        <f t="shared" si="10"/>
        <v/>
      </c>
      <c r="I193" s="74"/>
      <c r="J193" s="88" t="str">
        <f t="shared" si="11"/>
        <v/>
      </c>
      <c r="K193" s="73"/>
    </row>
    <row r="194" spans="2:11" x14ac:dyDescent="0.3">
      <c r="B194" s="73"/>
      <c r="C194" s="79" t="str">
        <f t="shared" si="8"/>
        <v/>
      </c>
      <c r="D194" s="80"/>
      <c r="E194" s="81" t="str" cm="1">
        <f t="array" ref="E194">_xlfn.IFS($E$6="First-Line Scenario",IFERROR(C194/C194*'Mortgage Calculator'!$G$25," "),$E$6="Recommendation",IFERROR(C194/C194*'Mortgage Calculator'!$U$28,""))</f>
        <v/>
      </c>
      <c r="F194" s="82" t="str">
        <f>IFERROR(C194/C194*H193*'Mortgage Calculator'!$C$13/12,"")</f>
        <v/>
      </c>
      <c r="G194" s="82" t="str">
        <f t="shared" si="9"/>
        <v/>
      </c>
      <c r="H194" s="100" t="str">
        <f t="shared" si="10"/>
        <v/>
      </c>
      <c r="I194" s="74"/>
      <c r="J194" s="88" t="str">
        <f t="shared" si="11"/>
        <v/>
      </c>
      <c r="K194" s="73"/>
    </row>
    <row r="195" spans="2:11" x14ac:dyDescent="0.3">
      <c r="B195" s="73"/>
      <c r="C195" s="79" t="str">
        <f t="shared" si="8"/>
        <v/>
      </c>
      <c r="D195" s="80"/>
      <c r="E195" s="81" t="str" cm="1">
        <f t="array" ref="E195">_xlfn.IFS($E$6="First-Line Scenario",IFERROR(C195/C195*'Mortgage Calculator'!$G$25," "),$E$6="Recommendation",IFERROR(C195/C195*'Mortgage Calculator'!$U$28,""))</f>
        <v/>
      </c>
      <c r="F195" s="82" t="str">
        <f>IFERROR(C195/C195*H194*'Mortgage Calculator'!$C$13/12,"")</f>
        <v/>
      </c>
      <c r="G195" s="82" t="str">
        <f t="shared" si="9"/>
        <v/>
      </c>
      <c r="H195" s="100" t="str">
        <f t="shared" si="10"/>
        <v/>
      </c>
      <c r="I195" s="74"/>
      <c r="J195" s="88" t="str">
        <f t="shared" si="11"/>
        <v/>
      </c>
      <c r="K195" s="73"/>
    </row>
    <row r="196" spans="2:11" x14ac:dyDescent="0.3">
      <c r="B196" s="73"/>
      <c r="C196" s="79" t="str">
        <f t="shared" si="8"/>
        <v/>
      </c>
      <c r="D196" s="80"/>
      <c r="E196" s="81" t="str" cm="1">
        <f t="array" ref="E196">_xlfn.IFS($E$6="First-Line Scenario",IFERROR(C196/C196*'Mortgage Calculator'!$G$25," "),$E$6="Recommendation",IFERROR(C196/C196*'Mortgage Calculator'!$U$28,""))</f>
        <v/>
      </c>
      <c r="F196" s="82" t="str">
        <f>IFERROR(C196/C196*H195*'Mortgage Calculator'!$C$13/12,"")</f>
        <v/>
      </c>
      <c r="G196" s="82" t="str">
        <f t="shared" si="9"/>
        <v/>
      </c>
      <c r="H196" s="100" t="str">
        <f t="shared" si="10"/>
        <v/>
      </c>
      <c r="I196" s="74"/>
      <c r="J196" s="88" t="str">
        <f t="shared" si="11"/>
        <v/>
      </c>
      <c r="K196" s="73"/>
    </row>
    <row r="197" spans="2:11" x14ac:dyDescent="0.3">
      <c r="B197" s="73"/>
      <c r="C197" s="79" t="str">
        <f t="shared" si="8"/>
        <v/>
      </c>
      <c r="D197" s="80"/>
      <c r="E197" s="81" t="str" cm="1">
        <f t="array" ref="E197">_xlfn.IFS($E$6="First-Line Scenario",IFERROR(C197/C197*'Mortgage Calculator'!$G$25," "),$E$6="Recommendation",IFERROR(C197/C197*'Mortgage Calculator'!$U$28,""))</f>
        <v/>
      </c>
      <c r="F197" s="82" t="str">
        <f>IFERROR(C197/C197*H196*'Mortgage Calculator'!$C$13/12,"")</f>
        <v/>
      </c>
      <c r="G197" s="82" t="str">
        <f t="shared" si="9"/>
        <v/>
      </c>
      <c r="H197" s="100" t="str">
        <f t="shared" si="10"/>
        <v/>
      </c>
      <c r="I197" s="74"/>
      <c r="J197" s="88" t="str">
        <f t="shared" si="11"/>
        <v/>
      </c>
      <c r="K197" s="73"/>
    </row>
    <row r="198" spans="2:11" x14ac:dyDescent="0.3">
      <c r="B198" s="73"/>
      <c r="C198" s="79" t="str">
        <f t="shared" si="8"/>
        <v/>
      </c>
      <c r="D198" s="80"/>
      <c r="E198" s="81" t="str" cm="1">
        <f t="array" ref="E198">_xlfn.IFS($E$6="First-Line Scenario",IFERROR(C198/C198*'Mortgage Calculator'!$G$25," "),$E$6="Recommendation",IFERROR(C198/C198*'Mortgage Calculator'!$U$28,""))</f>
        <v/>
      </c>
      <c r="F198" s="82" t="str">
        <f>IFERROR(C198/C198*H197*'Mortgage Calculator'!$C$13/12,"")</f>
        <v/>
      </c>
      <c r="G198" s="82" t="str">
        <f t="shared" si="9"/>
        <v/>
      </c>
      <c r="H198" s="100" t="str">
        <f t="shared" si="10"/>
        <v/>
      </c>
      <c r="I198" s="74"/>
      <c r="J198" s="88" t="str">
        <f t="shared" si="11"/>
        <v/>
      </c>
      <c r="K198" s="73"/>
    </row>
    <row r="199" spans="2:11" x14ac:dyDescent="0.3">
      <c r="B199" s="73"/>
      <c r="C199" s="79" t="str">
        <f t="shared" si="8"/>
        <v/>
      </c>
      <c r="D199" s="80"/>
      <c r="E199" s="81" t="str" cm="1">
        <f t="array" ref="E199">_xlfn.IFS($E$6="First-Line Scenario",IFERROR(C199/C199*'Mortgage Calculator'!$G$25," "),$E$6="Recommendation",IFERROR(C199/C199*'Mortgage Calculator'!$U$28,""))</f>
        <v/>
      </c>
      <c r="F199" s="82" t="str">
        <f>IFERROR(C199/C199*H198*'Mortgage Calculator'!$C$13/12,"")</f>
        <v/>
      </c>
      <c r="G199" s="82" t="str">
        <f t="shared" si="9"/>
        <v/>
      </c>
      <c r="H199" s="100" t="str">
        <f t="shared" si="10"/>
        <v/>
      </c>
      <c r="I199" s="74"/>
      <c r="J199" s="88" t="str">
        <f t="shared" si="11"/>
        <v/>
      </c>
      <c r="K199" s="73"/>
    </row>
    <row r="200" spans="2:11" x14ac:dyDescent="0.3">
      <c r="B200" s="73"/>
      <c r="C200" s="79" t="str">
        <f t="shared" si="8"/>
        <v/>
      </c>
      <c r="D200" s="80"/>
      <c r="E200" s="81" t="str" cm="1">
        <f t="array" ref="E200">_xlfn.IFS($E$6="First-Line Scenario",IFERROR(C200/C200*'Mortgage Calculator'!$G$25," "),$E$6="Recommendation",IFERROR(C200/C200*'Mortgage Calculator'!$U$28,""))</f>
        <v/>
      </c>
      <c r="F200" s="82" t="str">
        <f>IFERROR(C200/C200*H199*'Mortgage Calculator'!$C$13/12,"")</f>
        <v/>
      </c>
      <c r="G200" s="82" t="str">
        <f t="shared" si="9"/>
        <v/>
      </c>
      <c r="H200" s="100" t="str">
        <f t="shared" si="10"/>
        <v/>
      </c>
      <c r="I200" s="74"/>
      <c r="J200" s="88" t="str">
        <f t="shared" si="11"/>
        <v/>
      </c>
      <c r="K200" s="73"/>
    </row>
    <row r="201" spans="2:11" x14ac:dyDescent="0.3">
      <c r="B201" s="73"/>
      <c r="C201" s="79" t="str">
        <f t="shared" si="8"/>
        <v/>
      </c>
      <c r="D201" s="80"/>
      <c r="E201" s="81" t="str" cm="1">
        <f t="array" ref="E201">_xlfn.IFS($E$6="First-Line Scenario",IFERROR(C201/C201*'Mortgage Calculator'!$G$25," "),$E$6="Recommendation",IFERROR(C201/C201*'Mortgage Calculator'!$U$28,""))</f>
        <v/>
      </c>
      <c r="F201" s="82" t="str">
        <f>IFERROR(C201/C201*H200*'Mortgage Calculator'!$C$13/12,"")</f>
        <v/>
      </c>
      <c r="G201" s="82" t="str">
        <f t="shared" si="9"/>
        <v/>
      </c>
      <c r="H201" s="100" t="str">
        <f t="shared" si="10"/>
        <v/>
      </c>
      <c r="I201" s="74"/>
      <c r="J201" s="88" t="str">
        <f t="shared" si="11"/>
        <v/>
      </c>
      <c r="K201" s="73"/>
    </row>
    <row r="202" spans="2:11" x14ac:dyDescent="0.3">
      <c r="B202" s="73"/>
      <c r="C202" s="79" t="str">
        <f t="shared" si="8"/>
        <v/>
      </c>
      <c r="D202" s="80"/>
      <c r="E202" s="81" t="str" cm="1">
        <f t="array" ref="E202">_xlfn.IFS($E$6="First-Line Scenario",IFERROR(C202/C202*'Mortgage Calculator'!$G$25," "),$E$6="Recommendation",IFERROR(C202/C202*'Mortgage Calculator'!$U$28,""))</f>
        <v/>
      </c>
      <c r="F202" s="82" t="str">
        <f>IFERROR(C202/C202*H201*'Mortgage Calculator'!$C$13/12,"")</f>
        <v/>
      </c>
      <c r="G202" s="82" t="str">
        <f t="shared" si="9"/>
        <v/>
      </c>
      <c r="H202" s="100" t="str">
        <f t="shared" si="10"/>
        <v/>
      </c>
      <c r="I202" s="74"/>
      <c r="J202" s="88" t="str">
        <f t="shared" si="11"/>
        <v/>
      </c>
      <c r="K202" s="73"/>
    </row>
    <row r="203" spans="2:11" x14ac:dyDescent="0.3">
      <c r="B203" s="73"/>
      <c r="C203" s="79" t="str">
        <f t="shared" si="8"/>
        <v/>
      </c>
      <c r="D203" s="80"/>
      <c r="E203" s="81" t="str" cm="1">
        <f t="array" ref="E203">_xlfn.IFS($E$6="First-Line Scenario",IFERROR(C203/C203*'Mortgage Calculator'!$G$25," "),$E$6="Recommendation",IFERROR(C203/C203*'Mortgage Calculator'!$U$28,""))</f>
        <v/>
      </c>
      <c r="F203" s="82" t="str">
        <f>IFERROR(C203/C203*H202*'Mortgage Calculator'!$C$13/12,"")</f>
        <v/>
      </c>
      <c r="G203" s="82" t="str">
        <f t="shared" si="9"/>
        <v/>
      </c>
      <c r="H203" s="100" t="str">
        <f t="shared" si="10"/>
        <v/>
      </c>
      <c r="I203" s="74"/>
      <c r="J203" s="88" t="str">
        <f t="shared" si="11"/>
        <v/>
      </c>
      <c r="K203" s="73"/>
    </row>
    <row r="204" spans="2:11" x14ac:dyDescent="0.3">
      <c r="B204" s="73"/>
      <c r="C204" s="79" t="str">
        <f t="shared" si="8"/>
        <v/>
      </c>
      <c r="D204" s="80"/>
      <c r="E204" s="81" t="str" cm="1">
        <f t="array" ref="E204">_xlfn.IFS($E$6="First-Line Scenario",IFERROR(C204/C204*'Mortgage Calculator'!$G$25," "),$E$6="Recommendation",IFERROR(C204/C204*'Mortgage Calculator'!$U$28,""))</f>
        <v/>
      </c>
      <c r="F204" s="82" t="str">
        <f>IFERROR(C204/C204*H203*'Mortgage Calculator'!$C$13/12,"")</f>
        <v/>
      </c>
      <c r="G204" s="82" t="str">
        <f t="shared" si="9"/>
        <v/>
      </c>
      <c r="H204" s="100" t="str">
        <f t="shared" si="10"/>
        <v/>
      </c>
      <c r="I204" s="74"/>
      <c r="J204" s="88" t="str">
        <f t="shared" si="11"/>
        <v/>
      </c>
      <c r="K204" s="73"/>
    </row>
    <row r="205" spans="2:11" x14ac:dyDescent="0.3">
      <c r="B205" s="73"/>
      <c r="C205" s="79" t="str">
        <f t="shared" ref="C205:C268" si="12">IF(D205="","",ROW()-11)</f>
        <v/>
      </c>
      <c r="D205" s="80"/>
      <c r="E205" s="81" t="str" cm="1">
        <f t="array" ref="E205">_xlfn.IFS($E$6="First-Line Scenario",IFERROR(C205/C205*'Mortgage Calculator'!$G$25," "),$E$6="Recommendation",IFERROR(C205/C205*'Mortgage Calculator'!$U$28,""))</f>
        <v/>
      </c>
      <c r="F205" s="82" t="str">
        <f>IFERROR(C205/C205*H204*'Mortgage Calculator'!$C$13/12,"")</f>
        <v/>
      </c>
      <c r="G205" s="82" t="str">
        <f t="shared" ref="G205:G268" si="13">IFERROR(E205-F205,"")</f>
        <v/>
      </c>
      <c r="H205" s="100" t="str">
        <f t="shared" ref="H205:H268" si="14">IFERROR(H204-G205,"")</f>
        <v/>
      </c>
      <c r="I205" s="74"/>
      <c r="J205" s="88" t="str">
        <f t="shared" ref="J205:J268" si="15">IFERROR(J204+F205,"")</f>
        <v/>
      </c>
      <c r="K205" s="73"/>
    </row>
    <row r="206" spans="2:11" x14ac:dyDescent="0.3">
      <c r="B206" s="73"/>
      <c r="C206" s="79" t="str">
        <f t="shared" si="12"/>
        <v/>
      </c>
      <c r="D206" s="80"/>
      <c r="E206" s="81" t="str" cm="1">
        <f t="array" ref="E206">_xlfn.IFS($E$6="First-Line Scenario",IFERROR(C206/C206*'Mortgage Calculator'!$G$25," "),$E$6="Recommendation",IFERROR(C206/C206*'Mortgage Calculator'!$U$28,""))</f>
        <v/>
      </c>
      <c r="F206" s="82" t="str">
        <f>IFERROR(C206/C206*H205*'Mortgage Calculator'!$C$13/12,"")</f>
        <v/>
      </c>
      <c r="G206" s="82" t="str">
        <f t="shared" si="13"/>
        <v/>
      </c>
      <c r="H206" s="100" t="str">
        <f t="shared" si="14"/>
        <v/>
      </c>
      <c r="I206" s="74"/>
      <c r="J206" s="88" t="str">
        <f t="shared" si="15"/>
        <v/>
      </c>
      <c r="K206" s="73"/>
    </row>
    <row r="207" spans="2:11" x14ac:dyDescent="0.3">
      <c r="B207" s="73"/>
      <c r="C207" s="79" t="str">
        <f t="shared" si="12"/>
        <v/>
      </c>
      <c r="D207" s="80"/>
      <c r="E207" s="81" t="str" cm="1">
        <f t="array" ref="E207">_xlfn.IFS($E$6="First-Line Scenario",IFERROR(C207/C207*'Mortgage Calculator'!$G$25," "),$E$6="Recommendation",IFERROR(C207/C207*'Mortgage Calculator'!$U$28,""))</f>
        <v/>
      </c>
      <c r="F207" s="82" t="str">
        <f>IFERROR(C207/C207*H206*'Mortgage Calculator'!$C$13/12,"")</f>
        <v/>
      </c>
      <c r="G207" s="82" t="str">
        <f t="shared" si="13"/>
        <v/>
      </c>
      <c r="H207" s="100" t="str">
        <f t="shared" si="14"/>
        <v/>
      </c>
      <c r="I207" s="74"/>
      <c r="J207" s="88" t="str">
        <f t="shared" si="15"/>
        <v/>
      </c>
      <c r="K207" s="73"/>
    </row>
    <row r="208" spans="2:11" x14ac:dyDescent="0.3">
      <c r="B208" s="73"/>
      <c r="C208" s="79" t="str">
        <f t="shared" si="12"/>
        <v/>
      </c>
      <c r="D208" s="80"/>
      <c r="E208" s="81" t="str" cm="1">
        <f t="array" ref="E208">_xlfn.IFS($E$6="First-Line Scenario",IFERROR(C208/C208*'Mortgage Calculator'!$G$25," "),$E$6="Recommendation",IFERROR(C208/C208*'Mortgage Calculator'!$U$28,""))</f>
        <v/>
      </c>
      <c r="F208" s="82" t="str">
        <f>IFERROR(C208/C208*H207*'Mortgage Calculator'!$C$13/12,"")</f>
        <v/>
      </c>
      <c r="G208" s="82" t="str">
        <f t="shared" si="13"/>
        <v/>
      </c>
      <c r="H208" s="100" t="str">
        <f t="shared" si="14"/>
        <v/>
      </c>
      <c r="I208" s="74"/>
      <c r="J208" s="88" t="str">
        <f t="shared" si="15"/>
        <v/>
      </c>
      <c r="K208" s="73"/>
    </row>
    <row r="209" spans="2:11" x14ac:dyDescent="0.3">
      <c r="B209" s="73"/>
      <c r="C209" s="79" t="str">
        <f t="shared" si="12"/>
        <v/>
      </c>
      <c r="D209" s="80"/>
      <c r="E209" s="81" t="str" cm="1">
        <f t="array" ref="E209">_xlfn.IFS($E$6="First-Line Scenario",IFERROR(C209/C209*'Mortgage Calculator'!$G$25," "),$E$6="Recommendation",IFERROR(C209/C209*'Mortgage Calculator'!$U$28,""))</f>
        <v/>
      </c>
      <c r="F209" s="82" t="str">
        <f>IFERROR(C209/C209*H208*'Mortgage Calculator'!$C$13/12,"")</f>
        <v/>
      </c>
      <c r="G209" s="82" t="str">
        <f t="shared" si="13"/>
        <v/>
      </c>
      <c r="H209" s="100" t="str">
        <f t="shared" si="14"/>
        <v/>
      </c>
      <c r="I209" s="74"/>
      <c r="J209" s="88" t="str">
        <f t="shared" si="15"/>
        <v/>
      </c>
      <c r="K209" s="73"/>
    </row>
    <row r="210" spans="2:11" x14ac:dyDescent="0.3">
      <c r="B210" s="73"/>
      <c r="C210" s="79" t="str">
        <f t="shared" si="12"/>
        <v/>
      </c>
      <c r="D210" s="80"/>
      <c r="E210" s="81" t="str" cm="1">
        <f t="array" ref="E210">_xlfn.IFS($E$6="First-Line Scenario",IFERROR(C210/C210*'Mortgage Calculator'!$G$25," "),$E$6="Recommendation",IFERROR(C210/C210*'Mortgage Calculator'!$U$28,""))</f>
        <v/>
      </c>
      <c r="F210" s="82" t="str">
        <f>IFERROR(C210/C210*H209*'Mortgage Calculator'!$C$13/12,"")</f>
        <v/>
      </c>
      <c r="G210" s="82" t="str">
        <f t="shared" si="13"/>
        <v/>
      </c>
      <c r="H210" s="100" t="str">
        <f t="shared" si="14"/>
        <v/>
      </c>
      <c r="I210" s="74"/>
      <c r="J210" s="88" t="str">
        <f t="shared" si="15"/>
        <v/>
      </c>
      <c r="K210" s="73"/>
    </row>
    <row r="211" spans="2:11" x14ac:dyDescent="0.3">
      <c r="B211" s="73"/>
      <c r="C211" s="79" t="str">
        <f t="shared" si="12"/>
        <v/>
      </c>
      <c r="D211" s="80"/>
      <c r="E211" s="81" t="str" cm="1">
        <f t="array" ref="E211">_xlfn.IFS($E$6="First-Line Scenario",IFERROR(C211/C211*'Mortgage Calculator'!$G$25," "),$E$6="Recommendation",IFERROR(C211/C211*'Mortgage Calculator'!$U$28,""))</f>
        <v/>
      </c>
      <c r="F211" s="82" t="str">
        <f>IFERROR(C211/C211*H210*'Mortgage Calculator'!$C$13/12,"")</f>
        <v/>
      </c>
      <c r="G211" s="82" t="str">
        <f t="shared" si="13"/>
        <v/>
      </c>
      <c r="H211" s="100" t="str">
        <f t="shared" si="14"/>
        <v/>
      </c>
      <c r="I211" s="74"/>
      <c r="J211" s="88" t="str">
        <f t="shared" si="15"/>
        <v/>
      </c>
      <c r="K211" s="73"/>
    </row>
    <row r="212" spans="2:11" x14ac:dyDescent="0.3">
      <c r="B212" s="73"/>
      <c r="C212" s="79" t="str">
        <f t="shared" si="12"/>
        <v/>
      </c>
      <c r="D212" s="80"/>
      <c r="E212" s="81" t="str" cm="1">
        <f t="array" ref="E212">_xlfn.IFS($E$6="First-Line Scenario",IFERROR(C212/C212*'Mortgage Calculator'!$G$25," "),$E$6="Recommendation",IFERROR(C212/C212*'Mortgage Calculator'!$U$28,""))</f>
        <v/>
      </c>
      <c r="F212" s="82" t="str">
        <f>IFERROR(C212/C212*H211*'Mortgage Calculator'!$C$13/12,"")</f>
        <v/>
      </c>
      <c r="G212" s="82" t="str">
        <f t="shared" si="13"/>
        <v/>
      </c>
      <c r="H212" s="100" t="str">
        <f t="shared" si="14"/>
        <v/>
      </c>
      <c r="I212" s="74"/>
      <c r="J212" s="88" t="str">
        <f t="shared" si="15"/>
        <v/>
      </c>
      <c r="K212" s="73"/>
    </row>
    <row r="213" spans="2:11" x14ac:dyDescent="0.3">
      <c r="B213" s="73"/>
      <c r="C213" s="79" t="str">
        <f t="shared" si="12"/>
        <v/>
      </c>
      <c r="D213" s="80"/>
      <c r="E213" s="81" t="str" cm="1">
        <f t="array" ref="E213">_xlfn.IFS($E$6="First-Line Scenario",IFERROR(C213/C213*'Mortgage Calculator'!$G$25," "),$E$6="Recommendation",IFERROR(C213/C213*'Mortgage Calculator'!$U$28,""))</f>
        <v/>
      </c>
      <c r="F213" s="82" t="str">
        <f>IFERROR(C213/C213*H212*'Mortgage Calculator'!$C$13/12,"")</f>
        <v/>
      </c>
      <c r="G213" s="82" t="str">
        <f t="shared" si="13"/>
        <v/>
      </c>
      <c r="H213" s="100" t="str">
        <f t="shared" si="14"/>
        <v/>
      </c>
      <c r="I213" s="74"/>
      <c r="J213" s="88" t="str">
        <f t="shared" si="15"/>
        <v/>
      </c>
      <c r="K213" s="73"/>
    </row>
    <row r="214" spans="2:11" x14ac:dyDescent="0.3">
      <c r="B214" s="73"/>
      <c r="C214" s="79" t="str">
        <f t="shared" si="12"/>
        <v/>
      </c>
      <c r="D214" s="80"/>
      <c r="E214" s="81" t="str" cm="1">
        <f t="array" ref="E214">_xlfn.IFS($E$6="First-Line Scenario",IFERROR(C214/C214*'Mortgage Calculator'!$G$25," "),$E$6="Recommendation",IFERROR(C214/C214*'Mortgage Calculator'!$U$28,""))</f>
        <v/>
      </c>
      <c r="F214" s="82" t="str">
        <f>IFERROR(C214/C214*H213*'Mortgage Calculator'!$C$13/12,"")</f>
        <v/>
      </c>
      <c r="G214" s="82" t="str">
        <f t="shared" si="13"/>
        <v/>
      </c>
      <c r="H214" s="100" t="str">
        <f t="shared" si="14"/>
        <v/>
      </c>
      <c r="I214" s="74"/>
      <c r="J214" s="88" t="str">
        <f t="shared" si="15"/>
        <v/>
      </c>
      <c r="K214" s="73"/>
    </row>
    <row r="215" spans="2:11" x14ac:dyDescent="0.3">
      <c r="B215" s="73"/>
      <c r="C215" s="79" t="str">
        <f t="shared" si="12"/>
        <v/>
      </c>
      <c r="D215" s="80"/>
      <c r="E215" s="81" t="str" cm="1">
        <f t="array" ref="E215">_xlfn.IFS($E$6="First-Line Scenario",IFERROR(C215/C215*'Mortgage Calculator'!$G$25," "),$E$6="Recommendation",IFERROR(C215/C215*'Mortgage Calculator'!$U$28,""))</f>
        <v/>
      </c>
      <c r="F215" s="82" t="str">
        <f>IFERROR(C215/C215*H214*'Mortgage Calculator'!$C$13/12,"")</f>
        <v/>
      </c>
      <c r="G215" s="82" t="str">
        <f t="shared" si="13"/>
        <v/>
      </c>
      <c r="H215" s="100" t="str">
        <f t="shared" si="14"/>
        <v/>
      </c>
      <c r="I215" s="74"/>
      <c r="J215" s="88" t="str">
        <f t="shared" si="15"/>
        <v/>
      </c>
      <c r="K215" s="73"/>
    </row>
    <row r="216" spans="2:11" x14ac:dyDescent="0.3">
      <c r="B216" s="73"/>
      <c r="C216" s="79" t="str">
        <f t="shared" si="12"/>
        <v/>
      </c>
      <c r="D216" s="80"/>
      <c r="E216" s="81" t="str" cm="1">
        <f t="array" ref="E216">_xlfn.IFS($E$6="First-Line Scenario",IFERROR(C216/C216*'Mortgage Calculator'!$G$25," "),$E$6="Recommendation",IFERROR(C216/C216*'Mortgage Calculator'!$U$28,""))</f>
        <v/>
      </c>
      <c r="F216" s="82" t="str">
        <f>IFERROR(C216/C216*H215*'Mortgage Calculator'!$C$13/12,"")</f>
        <v/>
      </c>
      <c r="G216" s="82" t="str">
        <f t="shared" si="13"/>
        <v/>
      </c>
      <c r="H216" s="100" t="str">
        <f t="shared" si="14"/>
        <v/>
      </c>
      <c r="I216" s="74"/>
      <c r="J216" s="88" t="str">
        <f t="shared" si="15"/>
        <v/>
      </c>
      <c r="K216" s="73"/>
    </row>
    <row r="217" spans="2:11" x14ac:dyDescent="0.3">
      <c r="B217" s="73"/>
      <c r="C217" s="79" t="str">
        <f t="shared" si="12"/>
        <v/>
      </c>
      <c r="D217" s="80"/>
      <c r="E217" s="81" t="str" cm="1">
        <f t="array" ref="E217">_xlfn.IFS($E$6="First-Line Scenario",IFERROR(C217/C217*'Mortgage Calculator'!$G$25," "),$E$6="Recommendation",IFERROR(C217/C217*'Mortgage Calculator'!$U$28,""))</f>
        <v/>
      </c>
      <c r="F217" s="82" t="str">
        <f>IFERROR(C217/C217*H216*'Mortgage Calculator'!$C$13/12,"")</f>
        <v/>
      </c>
      <c r="G217" s="82" t="str">
        <f t="shared" si="13"/>
        <v/>
      </c>
      <c r="H217" s="100" t="str">
        <f t="shared" si="14"/>
        <v/>
      </c>
      <c r="I217" s="74"/>
      <c r="J217" s="88" t="str">
        <f t="shared" si="15"/>
        <v/>
      </c>
      <c r="K217" s="73"/>
    </row>
    <row r="218" spans="2:11" x14ac:dyDescent="0.3">
      <c r="B218" s="73"/>
      <c r="C218" s="79" t="str">
        <f t="shared" si="12"/>
        <v/>
      </c>
      <c r="D218" s="80"/>
      <c r="E218" s="81" t="str" cm="1">
        <f t="array" ref="E218">_xlfn.IFS($E$6="First-Line Scenario",IFERROR(C218/C218*'Mortgage Calculator'!$G$25," "),$E$6="Recommendation",IFERROR(C218/C218*'Mortgage Calculator'!$U$28,""))</f>
        <v/>
      </c>
      <c r="F218" s="82" t="str">
        <f>IFERROR(C218/C218*H217*'Mortgage Calculator'!$C$13/12,"")</f>
        <v/>
      </c>
      <c r="G218" s="82" t="str">
        <f t="shared" si="13"/>
        <v/>
      </c>
      <c r="H218" s="100" t="str">
        <f t="shared" si="14"/>
        <v/>
      </c>
      <c r="I218" s="74"/>
      <c r="J218" s="88" t="str">
        <f t="shared" si="15"/>
        <v/>
      </c>
      <c r="K218" s="73"/>
    </row>
    <row r="219" spans="2:11" x14ac:dyDescent="0.3">
      <c r="B219" s="73"/>
      <c r="C219" s="79" t="str">
        <f t="shared" si="12"/>
        <v/>
      </c>
      <c r="D219" s="80"/>
      <c r="E219" s="81" t="str" cm="1">
        <f t="array" ref="E219">_xlfn.IFS($E$6="First-Line Scenario",IFERROR(C219/C219*'Mortgage Calculator'!$G$25," "),$E$6="Recommendation",IFERROR(C219/C219*'Mortgage Calculator'!$U$28,""))</f>
        <v/>
      </c>
      <c r="F219" s="82" t="str">
        <f>IFERROR(C219/C219*H218*'Mortgage Calculator'!$C$13/12,"")</f>
        <v/>
      </c>
      <c r="G219" s="82" t="str">
        <f t="shared" si="13"/>
        <v/>
      </c>
      <c r="H219" s="100" t="str">
        <f t="shared" si="14"/>
        <v/>
      </c>
      <c r="I219" s="74"/>
      <c r="J219" s="88" t="str">
        <f t="shared" si="15"/>
        <v/>
      </c>
      <c r="K219" s="73"/>
    </row>
    <row r="220" spans="2:11" x14ac:dyDescent="0.3">
      <c r="B220" s="73"/>
      <c r="C220" s="79" t="str">
        <f t="shared" si="12"/>
        <v/>
      </c>
      <c r="D220" s="80"/>
      <c r="E220" s="81" t="str" cm="1">
        <f t="array" ref="E220">_xlfn.IFS($E$6="First-Line Scenario",IFERROR(C220/C220*'Mortgage Calculator'!$G$25," "),$E$6="Recommendation",IFERROR(C220/C220*'Mortgage Calculator'!$U$28,""))</f>
        <v/>
      </c>
      <c r="F220" s="82" t="str">
        <f>IFERROR(C220/C220*H219*'Mortgage Calculator'!$C$13/12,"")</f>
        <v/>
      </c>
      <c r="G220" s="82" t="str">
        <f t="shared" si="13"/>
        <v/>
      </c>
      <c r="H220" s="100" t="str">
        <f t="shared" si="14"/>
        <v/>
      </c>
      <c r="I220" s="74"/>
      <c r="J220" s="88" t="str">
        <f t="shared" si="15"/>
        <v/>
      </c>
      <c r="K220" s="73"/>
    </row>
    <row r="221" spans="2:11" x14ac:dyDescent="0.3">
      <c r="B221" s="73"/>
      <c r="C221" s="79" t="str">
        <f t="shared" si="12"/>
        <v/>
      </c>
      <c r="D221" s="80"/>
      <c r="E221" s="81" t="str" cm="1">
        <f t="array" ref="E221">_xlfn.IFS($E$6="First-Line Scenario",IFERROR(C221/C221*'Mortgage Calculator'!$G$25," "),$E$6="Recommendation",IFERROR(C221/C221*'Mortgage Calculator'!$U$28,""))</f>
        <v/>
      </c>
      <c r="F221" s="82" t="str">
        <f>IFERROR(C221/C221*H220*'Mortgage Calculator'!$C$13/12,"")</f>
        <v/>
      </c>
      <c r="G221" s="82" t="str">
        <f t="shared" si="13"/>
        <v/>
      </c>
      <c r="H221" s="100" t="str">
        <f t="shared" si="14"/>
        <v/>
      </c>
      <c r="I221" s="74"/>
      <c r="J221" s="88" t="str">
        <f t="shared" si="15"/>
        <v/>
      </c>
      <c r="K221" s="73"/>
    </row>
    <row r="222" spans="2:11" x14ac:dyDescent="0.3">
      <c r="B222" s="73"/>
      <c r="C222" s="79" t="str">
        <f t="shared" si="12"/>
        <v/>
      </c>
      <c r="D222" s="80"/>
      <c r="E222" s="81" t="str" cm="1">
        <f t="array" ref="E222">_xlfn.IFS($E$6="First-Line Scenario",IFERROR(C222/C222*'Mortgage Calculator'!$G$25," "),$E$6="Recommendation",IFERROR(C222/C222*'Mortgage Calculator'!$U$28,""))</f>
        <v/>
      </c>
      <c r="F222" s="82" t="str">
        <f>IFERROR(C222/C222*H221*'Mortgage Calculator'!$C$13/12,"")</f>
        <v/>
      </c>
      <c r="G222" s="82" t="str">
        <f t="shared" si="13"/>
        <v/>
      </c>
      <c r="H222" s="100" t="str">
        <f t="shared" si="14"/>
        <v/>
      </c>
      <c r="I222" s="74"/>
      <c r="J222" s="88" t="str">
        <f t="shared" si="15"/>
        <v/>
      </c>
      <c r="K222" s="73"/>
    </row>
    <row r="223" spans="2:11" x14ac:dyDescent="0.3">
      <c r="B223" s="73"/>
      <c r="C223" s="79" t="str">
        <f t="shared" si="12"/>
        <v/>
      </c>
      <c r="D223" s="80"/>
      <c r="E223" s="81" t="str" cm="1">
        <f t="array" ref="E223">_xlfn.IFS($E$6="First-Line Scenario",IFERROR(C223/C223*'Mortgage Calculator'!$G$25," "),$E$6="Recommendation",IFERROR(C223/C223*'Mortgage Calculator'!$U$28,""))</f>
        <v/>
      </c>
      <c r="F223" s="82" t="str">
        <f>IFERROR(C223/C223*H222*'Mortgage Calculator'!$C$13/12,"")</f>
        <v/>
      </c>
      <c r="G223" s="82" t="str">
        <f t="shared" si="13"/>
        <v/>
      </c>
      <c r="H223" s="100" t="str">
        <f t="shared" si="14"/>
        <v/>
      </c>
      <c r="I223" s="74"/>
      <c r="J223" s="88" t="str">
        <f t="shared" si="15"/>
        <v/>
      </c>
      <c r="K223" s="73"/>
    </row>
    <row r="224" spans="2:11" x14ac:dyDescent="0.3">
      <c r="B224" s="73"/>
      <c r="C224" s="79" t="str">
        <f t="shared" si="12"/>
        <v/>
      </c>
      <c r="D224" s="80"/>
      <c r="E224" s="81" t="str" cm="1">
        <f t="array" ref="E224">_xlfn.IFS($E$6="First-Line Scenario",IFERROR(C224/C224*'Mortgage Calculator'!$G$25," "),$E$6="Recommendation",IFERROR(C224/C224*'Mortgage Calculator'!$U$28,""))</f>
        <v/>
      </c>
      <c r="F224" s="82" t="str">
        <f>IFERROR(C224/C224*H223*'Mortgage Calculator'!$C$13/12,"")</f>
        <v/>
      </c>
      <c r="G224" s="82" t="str">
        <f t="shared" si="13"/>
        <v/>
      </c>
      <c r="H224" s="100" t="str">
        <f t="shared" si="14"/>
        <v/>
      </c>
      <c r="I224" s="74"/>
      <c r="J224" s="88" t="str">
        <f t="shared" si="15"/>
        <v/>
      </c>
      <c r="K224" s="73"/>
    </row>
    <row r="225" spans="2:11" x14ac:dyDescent="0.3">
      <c r="B225" s="73"/>
      <c r="C225" s="79" t="str">
        <f t="shared" si="12"/>
        <v/>
      </c>
      <c r="D225" s="80"/>
      <c r="E225" s="81" t="str" cm="1">
        <f t="array" ref="E225">_xlfn.IFS($E$6="First-Line Scenario",IFERROR(C225/C225*'Mortgage Calculator'!$G$25," "),$E$6="Recommendation",IFERROR(C225/C225*'Mortgage Calculator'!$U$28,""))</f>
        <v/>
      </c>
      <c r="F225" s="82" t="str">
        <f>IFERROR(C225/C225*H224*'Mortgage Calculator'!$C$13/12,"")</f>
        <v/>
      </c>
      <c r="G225" s="82" t="str">
        <f t="shared" si="13"/>
        <v/>
      </c>
      <c r="H225" s="100" t="str">
        <f t="shared" si="14"/>
        <v/>
      </c>
      <c r="I225" s="74"/>
      <c r="J225" s="88" t="str">
        <f t="shared" si="15"/>
        <v/>
      </c>
      <c r="K225" s="73"/>
    </row>
    <row r="226" spans="2:11" x14ac:dyDescent="0.3">
      <c r="B226" s="73"/>
      <c r="C226" s="79" t="str">
        <f t="shared" si="12"/>
        <v/>
      </c>
      <c r="D226" s="80"/>
      <c r="E226" s="81" t="str" cm="1">
        <f t="array" ref="E226">_xlfn.IFS($E$6="First-Line Scenario",IFERROR(C226/C226*'Mortgage Calculator'!$G$25," "),$E$6="Recommendation",IFERROR(C226/C226*'Mortgage Calculator'!$U$28,""))</f>
        <v/>
      </c>
      <c r="F226" s="82" t="str">
        <f>IFERROR(C226/C226*H225*'Mortgage Calculator'!$C$13/12,"")</f>
        <v/>
      </c>
      <c r="G226" s="82" t="str">
        <f t="shared" si="13"/>
        <v/>
      </c>
      <c r="H226" s="100" t="str">
        <f t="shared" si="14"/>
        <v/>
      </c>
      <c r="I226" s="74"/>
      <c r="J226" s="88" t="str">
        <f t="shared" si="15"/>
        <v/>
      </c>
      <c r="K226" s="73"/>
    </row>
    <row r="227" spans="2:11" x14ac:dyDescent="0.3">
      <c r="B227" s="73"/>
      <c r="C227" s="79" t="str">
        <f t="shared" si="12"/>
        <v/>
      </c>
      <c r="D227" s="80"/>
      <c r="E227" s="81" t="str" cm="1">
        <f t="array" ref="E227">_xlfn.IFS($E$6="First-Line Scenario",IFERROR(C227/C227*'Mortgage Calculator'!$G$25," "),$E$6="Recommendation",IFERROR(C227/C227*'Mortgage Calculator'!$U$28,""))</f>
        <v/>
      </c>
      <c r="F227" s="82" t="str">
        <f>IFERROR(C227/C227*H226*'Mortgage Calculator'!$C$13/12,"")</f>
        <v/>
      </c>
      <c r="G227" s="82" t="str">
        <f t="shared" si="13"/>
        <v/>
      </c>
      <c r="H227" s="100" t="str">
        <f t="shared" si="14"/>
        <v/>
      </c>
      <c r="I227" s="74"/>
      <c r="J227" s="88" t="str">
        <f t="shared" si="15"/>
        <v/>
      </c>
      <c r="K227" s="73"/>
    </row>
    <row r="228" spans="2:11" x14ac:dyDescent="0.3">
      <c r="B228" s="73"/>
      <c r="C228" s="79" t="str">
        <f t="shared" si="12"/>
        <v/>
      </c>
      <c r="D228" s="80"/>
      <c r="E228" s="81" t="str" cm="1">
        <f t="array" ref="E228">_xlfn.IFS($E$6="First-Line Scenario",IFERROR(C228/C228*'Mortgage Calculator'!$G$25," "),$E$6="Recommendation",IFERROR(C228/C228*'Mortgage Calculator'!$U$28,""))</f>
        <v/>
      </c>
      <c r="F228" s="82" t="str">
        <f>IFERROR(C228/C228*H227*'Mortgage Calculator'!$C$13/12,"")</f>
        <v/>
      </c>
      <c r="G228" s="82" t="str">
        <f t="shared" si="13"/>
        <v/>
      </c>
      <c r="H228" s="100" t="str">
        <f t="shared" si="14"/>
        <v/>
      </c>
      <c r="I228" s="74"/>
      <c r="J228" s="88" t="str">
        <f t="shared" si="15"/>
        <v/>
      </c>
      <c r="K228" s="73"/>
    </row>
    <row r="229" spans="2:11" x14ac:dyDescent="0.3">
      <c r="B229" s="73"/>
      <c r="C229" s="79" t="str">
        <f t="shared" si="12"/>
        <v/>
      </c>
      <c r="D229" s="80"/>
      <c r="E229" s="81" t="str" cm="1">
        <f t="array" ref="E229">_xlfn.IFS($E$6="First-Line Scenario",IFERROR(C229/C229*'Mortgage Calculator'!$G$25," "),$E$6="Recommendation",IFERROR(C229/C229*'Mortgage Calculator'!$U$28,""))</f>
        <v/>
      </c>
      <c r="F229" s="82" t="str">
        <f>IFERROR(C229/C229*H228*'Mortgage Calculator'!$C$13/12,"")</f>
        <v/>
      </c>
      <c r="G229" s="82" t="str">
        <f t="shared" si="13"/>
        <v/>
      </c>
      <c r="H229" s="100" t="str">
        <f t="shared" si="14"/>
        <v/>
      </c>
      <c r="I229" s="74"/>
      <c r="J229" s="88" t="str">
        <f t="shared" si="15"/>
        <v/>
      </c>
      <c r="K229" s="73"/>
    </row>
    <row r="230" spans="2:11" x14ac:dyDescent="0.3">
      <c r="B230" s="73"/>
      <c r="C230" s="79" t="str">
        <f t="shared" si="12"/>
        <v/>
      </c>
      <c r="D230" s="80"/>
      <c r="E230" s="81" t="str" cm="1">
        <f t="array" ref="E230">_xlfn.IFS($E$6="First-Line Scenario",IFERROR(C230/C230*'Mortgage Calculator'!$G$25," "),$E$6="Recommendation",IFERROR(C230/C230*'Mortgage Calculator'!$U$28,""))</f>
        <v/>
      </c>
      <c r="F230" s="82" t="str">
        <f>IFERROR(C230/C230*H229*'Mortgage Calculator'!$C$13/12,"")</f>
        <v/>
      </c>
      <c r="G230" s="82" t="str">
        <f t="shared" si="13"/>
        <v/>
      </c>
      <c r="H230" s="100" t="str">
        <f t="shared" si="14"/>
        <v/>
      </c>
      <c r="I230" s="74"/>
      <c r="J230" s="88" t="str">
        <f t="shared" si="15"/>
        <v/>
      </c>
      <c r="K230" s="73"/>
    </row>
    <row r="231" spans="2:11" x14ac:dyDescent="0.3">
      <c r="B231" s="73"/>
      <c r="C231" s="79" t="str">
        <f t="shared" si="12"/>
        <v/>
      </c>
      <c r="D231" s="80"/>
      <c r="E231" s="81" t="str" cm="1">
        <f t="array" ref="E231">_xlfn.IFS($E$6="First-Line Scenario",IFERROR(C231/C231*'Mortgage Calculator'!$G$25," "),$E$6="Recommendation",IFERROR(C231/C231*'Mortgage Calculator'!$U$28,""))</f>
        <v/>
      </c>
      <c r="F231" s="82" t="str">
        <f>IFERROR(C231/C231*H230*'Mortgage Calculator'!$C$13/12,"")</f>
        <v/>
      </c>
      <c r="G231" s="82" t="str">
        <f t="shared" si="13"/>
        <v/>
      </c>
      <c r="H231" s="100" t="str">
        <f t="shared" si="14"/>
        <v/>
      </c>
      <c r="I231" s="74"/>
      <c r="J231" s="88" t="str">
        <f t="shared" si="15"/>
        <v/>
      </c>
      <c r="K231" s="73"/>
    </row>
    <row r="232" spans="2:11" x14ac:dyDescent="0.3">
      <c r="B232" s="73"/>
      <c r="C232" s="79" t="str">
        <f t="shared" si="12"/>
        <v/>
      </c>
      <c r="D232" s="80"/>
      <c r="E232" s="81" t="str" cm="1">
        <f t="array" ref="E232">_xlfn.IFS($E$6="First-Line Scenario",IFERROR(C232/C232*'Mortgage Calculator'!$G$25," "),$E$6="Recommendation",IFERROR(C232/C232*'Mortgage Calculator'!$U$28,""))</f>
        <v/>
      </c>
      <c r="F232" s="82" t="str">
        <f>IFERROR(C232/C232*H231*'Mortgage Calculator'!$C$13/12,"")</f>
        <v/>
      </c>
      <c r="G232" s="82" t="str">
        <f t="shared" si="13"/>
        <v/>
      </c>
      <c r="H232" s="100" t="str">
        <f t="shared" si="14"/>
        <v/>
      </c>
      <c r="I232" s="74"/>
      <c r="J232" s="88" t="str">
        <f t="shared" si="15"/>
        <v/>
      </c>
      <c r="K232" s="73"/>
    </row>
    <row r="233" spans="2:11" x14ac:dyDescent="0.3">
      <c r="B233" s="73"/>
      <c r="C233" s="79" t="str">
        <f t="shared" si="12"/>
        <v/>
      </c>
      <c r="D233" s="80"/>
      <c r="E233" s="81" t="str" cm="1">
        <f t="array" ref="E233">_xlfn.IFS($E$6="First-Line Scenario",IFERROR(C233/C233*'Mortgage Calculator'!$G$25," "),$E$6="Recommendation",IFERROR(C233/C233*'Mortgage Calculator'!$U$28,""))</f>
        <v/>
      </c>
      <c r="F233" s="82" t="str">
        <f>IFERROR(C233/C233*H232*'Mortgage Calculator'!$C$13/12,"")</f>
        <v/>
      </c>
      <c r="G233" s="82" t="str">
        <f t="shared" si="13"/>
        <v/>
      </c>
      <c r="H233" s="100" t="str">
        <f t="shared" si="14"/>
        <v/>
      </c>
      <c r="I233" s="74"/>
      <c r="J233" s="88" t="str">
        <f t="shared" si="15"/>
        <v/>
      </c>
      <c r="K233" s="73"/>
    </row>
    <row r="234" spans="2:11" x14ac:dyDescent="0.3">
      <c r="B234" s="73"/>
      <c r="C234" s="79" t="str">
        <f t="shared" si="12"/>
        <v/>
      </c>
      <c r="D234" s="80"/>
      <c r="E234" s="81" t="str" cm="1">
        <f t="array" ref="E234">_xlfn.IFS($E$6="First-Line Scenario",IFERROR(C234/C234*'Mortgage Calculator'!$G$25," "),$E$6="Recommendation",IFERROR(C234/C234*'Mortgage Calculator'!$U$28,""))</f>
        <v/>
      </c>
      <c r="F234" s="82" t="str">
        <f>IFERROR(C234/C234*H233*'Mortgage Calculator'!$C$13/12,"")</f>
        <v/>
      </c>
      <c r="G234" s="82" t="str">
        <f t="shared" si="13"/>
        <v/>
      </c>
      <c r="H234" s="100" t="str">
        <f t="shared" si="14"/>
        <v/>
      </c>
      <c r="I234" s="74"/>
      <c r="J234" s="88" t="str">
        <f t="shared" si="15"/>
        <v/>
      </c>
      <c r="K234" s="73"/>
    </row>
    <row r="235" spans="2:11" x14ac:dyDescent="0.3">
      <c r="B235" s="73"/>
      <c r="C235" s="79" t="str">
        <f t="shared" si="12"/>
        <v/>
      </c>
      <c r="D235" s="80"/>
      <c r="E235" s="81" t="str" cm="1">
        <f t="array" ref="E235">_xlfn.IFS($E$6="First-Line Scenario",IFERROR(C235/C235*'Mortgage Calculator'!$G$25," "),$E$6="Recommendation",IFERROR(C235/C235*'Mortgage Calculator'!$U$28,""))</f>
        <v/>
      </c>
      <c r="F235" s="82" t="str">
        <f>IFERROR(C235/C235*H234*'Mortgage Calculator'!$C$13/12,"")</f>
        <v/>
      </c>
      <c r="G235" s="82" t="str">
        <f t="shared" si="13"/>
        <v/>
      </c>
      <c r="H235" s="100" t="str">
        <f t="shared" si="14"/>
        <v/>
      </c>
      <c r="I235" s="74"/>
      <c r="J235" s="88" t="str">
        <f t="shared" si="15"/>
        <v/>
      </c>
      <c r="K235" s="73"/>
    </row>
    <row r="236" spans="2:11" x14ac:dyDescent="0.3">
      <c r="B236" s="73"/>
      <c r="C236" s="79" t="str">
        <f t="shared" si="12"/>
        <v/>
      </c>
      <c r="D236" s="80"/>
      <c r="E236" s="81" t="str" cm="1">
        <f t="array" ref="E236">_xlfn.IFS($E$6="First-Line Scenario",IFERROR(C236/C236*'Mortgage Calculator'!$G$25," "),$E$6="Recommendation",IFERROR(C236/C236*'Mortgage Calculator'!$U$28,""))</f>
        <v/>
      </c>
      <c r="F236" s="82" t="str">
        <f>IFERROR(C236/C236*H235*'Mortgage Calculator'!$C$13/12,"")</f>
        <v/>
      </c>
      <c r="G236" s="82" t="str">
        <f t="shared" si="13"/>
        <v/>
      </c>
      <c r="H236" s="100" t="str">
        <f t="shared" si="14"/>
        <v/>
      </c>
      <c r="I236" s="74"/>
      <c r="J236" s="88" t="str">
        <f t="shared" si="15"/>
        <v/>
      </c>
      <c r="K236" s="73"/>
    </row>
    <row r="237" spans="2:11" x14ac:dyDescent="0.3">
      <c r="B237" s="73"/>
      <c r="C237" s="79" t="str">
        <f t="shared" si="12"/>
        <v/>
      </c>
      <c r="D237" s="80"/>
      <c r="E237" s="81" t="str" cm="1">
        <f t="array" ref="E237">_xlfn.IFS($E$6="First-Line Scenario",IFERROR(C237/C237*'Mortgage Calculator'!$G$25," "),$E$6="Recommendation",IFERROR(C237/C237*'Mortgage Calculator'!$U$28,""))</f>
        <v/>
      </c>
      <c r="F237" s="82" t="str">
        <f>IFERROR(C237/C237*H236*'Mortgage Calculator'!$C$13/12,"")</f>
        <v/>
      </c>
      <c r="G237" s="82" t="str">
        <f t="shared" si="13"/>
        <v/>
      </c>
      <c r="H237" s="100" t="str">
        <f t="shared" si="14"/>
        <v/>
      </c>
      <c r="I237" s="74"/>
      <c r="J237" s="88" t="str">
        <f t="shared" si="15"/>
        <v/>
      </c>
      <c r="K237" s="73"/>
    </row>
    <row r="238" spans="2:11" x14ac:dyDescent="0.3">
      <c r="B238" s="73"/>
      <c r="C238" s="79" t="str">
        <f t="shared" si="12"/>
        <v/>
      </c>
      <c r="D238" s="80"/>
      <c r="E238" s="81" t="str" cm="1">
        <f t="array" ref="E238">_xlfn.IFS($E$6="First-Line Scenario",IFERROR(C238/C238*'Mortgage Calculator'!$G$25," "),$E$6="Recommendation",IFERROR(C238/C238*'Mortgage Calculator'!$U$28,""))</f>
        <v/>
      </c>
      <c r="F238" s="82" t="str">
        <f>IFERROR(C238/C238*H237*'Mortgage Calculator'!$C$13/12,"")</f>
        <v/>
      </c>
      <c r="G238" s="82" t="str">
        <f t="shared" si="13"/>
        <v/>
      </c>
      <c r="H238" s="100" t="str">
        <f t="shared" si="14"/>
        <v/>
      </c>
      <c r="I238" s="74"/>
      <c r="J238" s="88" t="str">
        <f t="shared" si="15"/>
        <v/>
      </c>
      <c r="K238" s="73"/>
    </row>
    <row r="239" spans="2:11" x14ac:dyDescent="0.3">
      <c r="B239" s="73"/>
      <c r="C239" s="79" t="str">
        <f t="shared" si="12"/>
        <v/>
      </c>
      <c r="D239" s="80"/>
      <c r="E239" s="81" t="str" cm="1">
        <f t="array" ref="E239">_xlfn.IFS($E$6="First-Line Scenario",IFERROR(C239/C239*'Mortgage Calculator'!$G$25," "),$E$6="Recommendation",IFERROR(C239/C239*'Mortgage Calculator'!$U$28,""))</f>
        <v/>
      </c>
      <c r="F239" s="82" t="str">
        <f>IFERROR(C239/C239*H238*'Mortgage Calculator'!$C$13/12,"")</f>
        <v/>
      </c>
      <c r="G239" s="82" t="str">
        <f t="shared" si="13"/>
        <v/>
      </c>
      <c r="H239" s="100" t="str">
        <f t="shared" si="14"/>
        <v/>
      </c>
      <c r="I239" s="74"/>
      <c r="J239" s="88" t="str">
        <f t="shared" si="15"/>
        <v/>
      </c>
      <c r="K239" s="73"/>
    </row>
    <row r="240" spans="2:11" x14ac:dyDescent="0.3">
      <c r="B240" s="73"/>
      <c r="C240" s="79" t="str">
        <f t="shared" si="12"/>
        <v/>
      </c>
      <c r="D240" s="80"/>
      <c r="E240" s="81" t="str" cm="1">
        <f t="array" ref="E240">_xlfn.IFS($E$6="First-Line Scenario",IFERROR(C240/C240*'Mortgage Calculator'!$G$25," "),$E$6="Recommendation",IFERROR(C240/C240*'Mortgage Calculator'!$U$28,""))</f>
        <v/>
      </c>
      <c r="F240" s="82" t="str">
        <f>IFERROR(C240/C240*H239*'Mortgage Calculator'!$C$13/12,"")</f>
        <v/>
      </c>
      <c r="G240" s="82" t="str">
        <f t="shared" si="13"/>
        <v/>
      </c>
      <c r="H240" s="100" t="str">
        <f t="shared" si="14"/>
        <v/>
      </c>
      <c r="I240" s="74"/>
      <c r="J240" s="88" t="str">
        <f t="shared" si="15"/>
        <v/>
      </c>
      <c r="K240" s="73"/>
    </row>
    <row r="241" spans="2:11" x14ac:dyDescent="0.3">
      <c r="B241" s="73"/>
      <c r="C241" s="79" t="str">
        <f t="shared" si="12"/>
        <v/>
      </c>
      <c r="D241" s="80"/>
      <c r="E241" s="81" t="str" cm="1">
        <f t="array" ref="E241">_xlfn.IFS($E$6="First-Line Scenario",IFERROR(C241/C241*'Mortgage Calculator'!$G$25," "),$E$6="Recommendation",IFERROR(C241/C241*'Mortgage Calculator'!$U$28,""))</f>
        <v/>
      </c>
      <c r="F241" s="82" t="str">
        <f>IFERROR(C241/C241*H240*'Mortgage Calculator'!$C$13/12,"")</f>
        <v/>
      </c>
      <c r="G241" s="82" t="str">
        <f t="shared" si="13"/>
        <v/>
      </c>
      <c r="H241" s="100" t="str">
        <f t="shared" si="14"/>
        <v/>
      </c>
      <c r="I241" s="74"/>
      <c r="J241" s="88" t="str">
        <f t="shared" si="15"/>
        <v/>
      </c>
      <c r="K241" s="73"/>
    </row>
    <row r="242" spans="2:11" x14ac:dyDescent="0.3">
      <c r="B242" s="73"/>
      <c r="C242" s="79" t="str">
        <f t="shared" si="12"/>
        <v/>
      </c>
      <c r="D242" s="80"/>
      <c r="E242" s="81" t="str" cm="1">
        <f t="array" ref="E242">_xlfn.IFS($E$6="First-Line Scenario",IFERROR(C242/C242*'Mortgage Calculator'!$G$25," "),$E$6="Recommendation",IFERROR(C242/C242*'Mortgage Calculator'!$U$28,""))</f>
        <v/>
      </c>
      <c r="F242" s="82" t="str">
        <f>IFERROR(C242/C242*H241*'Mortgage Calculator'!$C$13/12,"")</f>
        <v/>
      </c>
      <c r="G242" s="82" t="str">
        <f t="shared" si="13"/>
        <v/>
      </c>
      <c r="H242" s="100" t="str">
        <f t="shared" si="14"/>
        <v/>
      </c>
      <c r="I242" s="74"/>
      <c r="J242" s="88" t="str">
        <f t="shared" si="15"/>
        <v/>
      </c>
      <c r="K242" s="73"/>
    </row>
    <row r="243" spans="2:11" x14ac:dyDescent="0.3">
      <c r="B243" s="73"/>
      <c r="C243" s="79" t="str">
        <f t="shared" si="12"/>
        <v/>
      </c>
      <c r="D243" s="80"/>
      <c r="E243" s="81" t="str" cm="1">
        <f t="array" ref="E243">_xlfn.IFS($E$6="First-Line Scenario",IFERROR(C243/C243*'Mortgage Calculator'!$G$25," "),$E$6="Recommendation",IFERROR(C243/C243*'Mortgage Calculator'!$U$28,""))</f>
        <v/>
      </c>
      <c r="F243" s="82" t="str">
        <f>IFERROR(C243/C243*H242*'Mortgage Calculator'!$C$13/12,"")</f>
        <v/>
      </c>
      <c r="G243" s="82" t="str">
        <f t="shared" si="13"/>
        <v/>
      </c>
      <c r="H243" s="100" t="str">
        <f t="shared" si="14"/>
        <v/>
      </c>
      <c r="I243" s="74"/>
      <c r="J243" s="88" t="str">
        <f t="shared" si="15"/>
        <v/>
      </c>
      <c r="K243" s="73"/>
    </row>
    <row r="244" spans="2:11" x14ac:dyDescent="0.3">
      <c r="B244" s="73"/>
      <c r="C244" s="79" t="str">
        <f t="shared" si="12"/>
        <v/>
      </c>
      <c r="D244" s="80"/>
      <c r="E244" s="81" t="str" cm="1">
        <f t="array" ref="E244">_xlfn.IFS($E$6="First-Line Scenario",IFERROR(C244/C244*'Mortgage Calculator'!$G$25," "),$E$6="Recommendation",IFERROR(C244/C244*'Mortgage Calculator'!$U$28,""))</f>
        <v/>
      </c>
      <c r="F244" s="82" t="str">
        <f>IFERROR(C244/C244*H243*'Mortgage Calculator'!$C$13/12,"")</f>
        <v/>
      </c>
      <c r="G244" s="82" t="str">
        <f t="shared" si="13"/>
        <v/>
      </c>
      <c r="H244" s="100" t="str">
        <f t="shared" si="14"/>
        <v/>
      </c>
      <c r="I244" s="74"/>
      <c r="J244" s="88" t="str">
        <f t="shared" si="15"/>
        <v/>
      </c>
      <c r="K244" s="73"/>
    </row>
    <row r="245" spans="2:11" x14ac:dyDescent="0.3">
      <c r="B245" s="73"/>
      <c r="C245" s="79" t="str">
        <f t="shared" si="12"/>
        <v/>
      </c>
      <c r="D245" s="80"/>
      <c r="E245" s="81" t="str" cm="1">
        <f t="array" ref="E245">_xlfn.IFS($E$6="First-Line Scenario",IFERROR(C245/C245*'Mortgage Calculator'!$G$25," "),$E$6="Recommendation",IFERROR(C245/C245*'Mortgage Calculator'!$U$28,""))</f>
        <v/>
      </c>
      <c r="F245" s="82" t="str">
        <f>IFERROR(C245/C245*H244*'Mortgage Calculator'!$C$13/12,"")</f>
        <v/>
      </c>
      <c r="G245" s="82" t="str">
        <f t="shared" si="13"/>
        <v/>
      </c>
      <c r="H245" s="100" t="str">
        <f t="shared" si="14"/>
        <v/>
      </c>
      <c r="I245" s="74"/>
      <c r="J245" s="88" t="str">
        <f t="shared" si="15"/>
        <v/>
      </c>
      <c r="K245" s="73"/>
    </row>
    <row r="246" spans="2:11" x14ac:dyDescent="0.3">
      <c r="B246" s="73"/>
      <c r="C246" s="79" t="str">
        <f t="shared" si="12"/>
        <v/>
      </c>
      <c r="D246" s="80"/>
      <c r="E246" s="81" t="str" cm="1">
        <f t="array" ref="E246">_xlfn.IFS($E$6="First-Line Scenario",IFERROR(C246/C246*'Mortgage Calculator'!$G$25," "),$E$6="Recommendation",IFERROR(C246/C246*'Mortgage Calculator'!$U$28,""))</f>
        <v/>
      </c>
      <c r="F246" s="82" t="str">
        <f>IFERROR(C246/C246*H245*'Mortgage Calculator'!$C$13/12,"")</f>
        <v/>
      </c>
      <c r="G246" s="82" t="str">
        <f t="shared" si="13"/>
        <v/>
      </c>
      <c r="H246" s="100" t="str">
        <f t="shared" si="14"/>
        <v/>
      </c>
      <c r="I246" s="74"/>
      <c r="J246" s="88" t="str">
        <f t="shared" si="15"/>
        <v/>
      </c>
      <c r="K246" s="73"/>
    </row>
    <row r="247" spans="2:11" x14ac:dyDescent="0.3">
      <c r="B247" s="73"/>
      <c r="C247" s="79" t="str">
        <f t="shared" si="12"/>
        <v/>
      </c>
      <c r="D247" s="80"/>
      <c r="E247" s="81" t="str" cm="1">
        <f t="array" ref="E247">_xlfn.IFS($E$6="First-Line Scenario",IFERROR(C247/C247*'Mortgage Calculator'!$G$25," "),$E$6="Recommendation",IFERROR(C247/C247*'Mortgage Calculator'!$U$28,""))</f>
        <v/>
      </c>
      <c r="F247" s="82" t="str">
        <f>IFERROR(C247/C247*H246*'Mortgage Calculator'!$C$13/12,"")</f>
        <v/>
      </c>
      <c r="G247" s="82" t="str">
        <f t="shared" si="13"/>
        <v/>
      </c>
      <c r="H247" s="100" t="str">
        <f t="shared" si="14"/>
        <v/>
      </c>
      <c r="I247" s="74"/>
      <c r="J247" s="88" t="str">
        <f t="shared" si="15"/>
        <v/>
      </c>
      <c r="K247" s="73"/>
    </row>
    <row r="248" spans="2:11" x14ac:dyDescent="0.3">
      <c r="B248" s="73"/>
      <c r="C248" s="79" t="str">
        <f t="shared" si="12"/>
        <v/>
      </c>
      <c r="D248" s="80"/>
      <c r="E248" s="81" t="str" cm="1">
        <f t="array" ref="E248">_xlfn.IFS($E$6="First-Line Scenario",IFERROR(C248/C248*'Mortgage Calculator'!$G$25," "),$E$6="Recommendation",IFERROR(C248/C248*'Mortgage Calculator'!$U$28,""))</f>
        <v/>
      </c>
      <c r="F248" s="82" t="str">
        <f>IFERROR(C248/C248*H247*'Mortgage Calculator'!$C$13/12,"")</f>
        <v/>
      </c>
      <c r="G248" s="82" t="str">
        <f t="shared" si="13"/>
        <v/>
      </c>
      <c r="H248" s="100" t="str">
        <f t="shared" si="14"/>
        <v/>
      </c>
      <c r="I248" s="74"/>
      <c r="J248" s="88" t="str">
        <f t="shared" si="15"/>
        <v/>
      </c>
      <c r="K248" s="73"/>
    </row>
    <row r="249" spans="2:11" x14ac:dyDescent="0.3">
      <c r="B249" s="73"/>
      <c r="C249" s="79" t="str">
        <f t="shared" si="12"/>
        <v/>
      </c>
      <c r="D249" s="80"/>
      <c r="E249" s="81" t="str" cm="1">
        <f t="array" ref="E249">_xlfn.IFS($E$6="First-Line Scenario",IFERROR(C249/C249*'Mortgage Calculator'!$G$25," "),$E$6="Recommendation",IFERROR(C249/C249*'Mortgage Calculator'!$U$28,""))</f>
        <v/>
      </c>
      <c r="F249" s="82" t="str">
        <f>IFERROR(C249/C249*H248*'Mortgage Calculator'!$C$13/12,"")</f>
        <v/>
      </c>
      <c r="G249" s="82" t="str">
        <f t="shared" si="13"/>
        <v/>
      </c>
      <c r="H249" s="100" t="str">
        <f t="shared" si="14"/>
        <v/>
      </c>
      <c r="I249" s="74"/>
      <c r="J249" s="88" t="str">
        <f t="shared" si="15"/>
        <v/>
      </c>
      <c r="K249" s="73"/>
    </row>
    <row r="250" spans="2:11" x14ac:dyDescent="0.3">
      <c r="B250" s="73"/>
      <c r="C250" s="79" t="str">
        <f t="shared" si="12"/>
        <v/>
      </c>
      <c r="D250" s="80"/>
      <c r="E250" s="81" t="str" cm="1">
        <f t="array" ref="E250">_xlfn.IFS($E$6="First-Line Scenario",IFERROR(C250/C250*'Mortgage Calculator'!$G$25," "),$E$6="Recommendation",IFERROR(C250/C250*'Mortgage Calculator'!$U$28,""))</f>
        <v/>
      </c>
      <c r="F250" s="82" t="str">
        <f>IFERROR(C250/C250*H249*'Mortgage Calculator'!$C$13/12,"")</f>
        <v/>
      </c>
      <c r="G250" s="82" t="str">
        <f t="shared" si="13"/>
        <v/>
      </c>
      <c r="H250" s="100" t="str">
        <f t="shared" si="14"/>
        <v/>
      </c>
      <c r="I250" s="74"/>
      <c r="J250" s="88" t="str">
        <f t="shared" si="15"/>
        <v/>
      </c>
      <c r="K250" s="73"/>
    </row>
    <row r="251" spans="2:11" x14ac:dyDescent="0.3">
      <c r="B251" s="73"/>
      <c r="C251" s="79" t="str">
        <f t="shared" si="12"/>
        <v/>
      </c>
      <c r="D251" s="80"/>
      <c r="E251" s="81" t="str" cm="1">
        <f t="array" ref="E251">_xlfn.IFS($E$6="First-Line Scenario",IFERROR(C251/C251*'Mortgage Calculator'!$G$25," "),$E$6="Recommendation",IFERROR(C251/C251*'Mortgage Calculator'!$U$28,""))</f>
        <v/>
      </c>
      <c r="F251" s="82" t="str">
        <f>IFERROR(C251/C251*H250*'Mortgage Calculator'!$C$13/12,"")</f>
        <v/>
      </c>
      <c r="G251" s="82" t="str">
        <f t="shared" si="13"/>
        <v/>
      </c>
      <c r="H251" s="100" t="str">
        <f t="shared" si="14"/>
        <v/>
      </c>
      <c r="I251" s="74"/>
      <c r="J251" s="88" t="str">
        <f t="shared" si="15"/>
        <v/>
      </c>
      <c r="K251" s="73"/>
    </row>
    <row r="252" spans="2:11" x14ac:dyDescent="0.3">
      <c r="B252" s="73"/>
      <c r="C252" s="79" t="str">
        <f t="shared" si="12"/>
        <v/>
      </c>
      <c r="D252" s="80"/>
      <c r="E252" s="81" t="str" cm="1">
        <f t="array" ref="E252">_xlfn.IFS($E$6="First-Line Scenario",IFERROR(C252/C252*'Mortgage Calculator'!$G$25," "),$E$6="Recommendation",IFERROR(C252/C252*'Mortgage Calculator'!$U$28,""))</f>
        <v/>
      </c>
      <c r="F252" s="82" t="str">
        <f>IFERROR(C252/C252*H251*'Mortgage Calculator'!$C$13/12,"")</f>
        <v/>
      </c>
      <c r="G252" s="82" t="str">
        <f t="shared" si="13"/>
        <v/>
      </c>
      <c r="H252" s="100" t="str">
        <f t="shared" si="14"/>
        <v/>
      </c>
      <c r="I252" s="74"/>
      <c r="J252" s="88" t="str">
        <f t="shared" si="15"/>
        <v/>
      </c>
      <c r="K252" s="73"/>
    </row>
    <row r="253" spans="2:11" x14ac:dyDescent="0.3">
      <c r="B253" s="73"/>
      <c r="C253" s="79" t="str">
        <f t="shared" si="12"/>
        <v/>
      </c>
      <c r="D253" s="80"/>
      <c r="E253" s="81" t="str" cm="1">
        <f t="array" ref="E253">_xlfn.IFS($E$6="First-Line Scenario",IFERROR(C253/C253*'Mortgage Calculator'!$G$25," "),$E$6="Recommendation",IFERROR(C253/C253*'Mortgage Calculator'!$U$28,""))</f>
        <v/>
      </c>
      <c r="F253" s="82" t="str">
        <f>IFERROR(C253/C253*H252*'Mortgage Calculator'!$C$13/12,"")</f>
        <v/>
      </c>
      <c r="G253" s="82" t="str">
        <f t="shared" si="13"/>
        <v/>
      </c>
      <c r="H253" s="100" t="str">
        <f t="shared" si="14"/>
        <v/>
      </c>
      <c r="I253" s="74"/>
      <c r="J253" s="88" t="str">
        <f t="shared" si="15"/>
        <v/>
      </c>
      <c r="K253" s="73"/>
    </row>
    <row r="254" spans="2:11" x14ac:dyDescent="0.3">
      <c r="B254" s="73"/>
      <c r="C254" s="79" t="str">
        <f t="shared" si="12"/>
        <v/>
      </c>
      <c r="D254" s="80"/>
      <c r="E254" s="81" t="str" cm="1">
        <f t="array" ref="E254">_xlfn.IFS($E$6="First-Line Scenario",IFERROR(C254/C254*'Mortgage Calculator'!$G$25," "),$E$6="Recommendation",IFERROR(C254/C254*'Mortgage Calculator'!$U$28,""))</f>
        <v/>
      </c>
      <c r="F254" s="82" t="str">
        <f>IFERROR(C254/C254*H253*'Mortgage Calculator'!$C$13/12,"")</f>
        <v/>
      </c>
      <c r="G254" s="82" t="str">
        <f t="shared" si="13"/>
        <v/>
      </c>
      <c r="H254" s="100" t="str">
        <f t="shared" si="14"/>
        <v/>
      </c>
      <c r="I254" s="74"/>
      <c r="J254" s="88" t="str">
        <f t="shared" si="15"/>
        <v/>
      </c>
      <c r="K254" s="73"/>
    </row>
    <row r="255" spans="2:11" x14ac:dyDescent="0.3">
      <c r="B255" s="73"/>
      <c r="C255" s="79" t="str">
        <f t="shared" si="12"/>
        <v/>
      </c>
      <c r="D255" s="80"/>
      <c r="E255" s="81" t="str" cm="1">
        <f t="array" ref="E255">_xlfn.IFS($E$6="First-Line Scenario",IFERROR(C255/C255*'Mortgage Calculator'!$G$25," "),$E$6="Recommendation",IFERROR(C255/C255*'Mortgage Calculator'!$U$28,""))</f>
        <v/>
      </c>
      <c r="F255" s="82" t="str">
        <f>IFERROR(C255/C255*H254*'Mortgage Calculator'!$C$13/12,"")</f>
        <v/>
      </c>
      <c r="G255" s="82" t="str">
        <f t="shared" si="13"/>
        <v/>
      </c>
      <c r="H255" s="100" t="str">
        <f t="shared" si="14"/>
        <v/>
      </c>
      <c r="I255" s="74"/>
      <c r="J255" s="88" t="str">
        <f t="shared" si="15"/>
        <v/>
      </c>
      <c r="K255" s="73"/>
    </row>
    <row r="256" spans="2:11" x14ac:dyDescent="0.3">
      <c r="B256" s="73"/>
      <c r="C256" s="79" t="str">
        <f t="shared" si="12"/>
        <v/>
      </c>
      <c r="D256" s="80"/>
      <c r="E256" s="81" t="str" cm="1">
        <f t="array" ref="E256">_xlfn.IFS($E$6="First-Line Scenario",IFERROR(C256/C256*'Mortgage Calculator'!$G$25," "),$E$6="Recommendation",IFERROR(C256/C256*'Mortgage Calculator'!$U$28,""))</f>
        <v/>
      </c>
      <c r="F256" s="82" t="str">
        <f>IFERROR(C256/C256*H255*'Mortgage Calculator'!$C$13/12,"")</f>
        <v/>
      </c>
      <c r="G256" s="82" t="str">
        <f t="shared" si="13"/>
        <v/>
      </c>
      <c r="H256" s="100" t="str">
        <f t="shared" si="14"/>
        <v/>
      </c>
      <c r="I256" s="74"/>
      <c r="J256" s="88" t="str">
        <f t="shared" si="15"/>
        <v/>
      </c>
      <c r="K256" s="73"/>
    </row>
    <row r="257" spans="2:11" x14ac:dyDescent="0.3">
      <c r="B257" s="73"/>
      <c r="C257" s="79" t="str">
        <f t="shared" si="12"/>
        <v/>
      </c>
      <c r="D257" s="80"/>
      <c r="E257" s="81" t="str" cm="1">
        <f t="array" ref="E257">_xlfn.IFS($E$6="First-Line Scenario",IFERROR(C257/C257*'Mortgage Calculator'!$G$25," "),$E$6="Recommendation",IFERROR(C257/C257*'Mortgage Calculator'!$U$28,""))</f>
        <v/>
      </c>
      <c r="F257" s="82" t="str">
        <f>IFERROR(C257/C257*H256*'Mortgage Calculator'!$C$13/12,"")</f>
        <v/>
      </c>
      <c r="G257" s="82" t="str">
        <f t="shared" si="13"/>
        <v/>
      </c>
      <c r="H257" s="100" t="str">
        <f t="shared" si="14"/>
        <v/>
      </c>
      <c r="I257" s="74"/>
      <c r="J257" s="88" t="str">
        <f t="shared" si="15"/>
        <v/>
      </c>
      <c r="K257" s="73"/>
    </row>
    <row r="258" spans="2:11" x14ac:dyDescent="0.3">
      <c r="B258" s="73"/>
      <c r="C258" s="79" t="str">
        <f t="shared" si="12"/>
        <v/>
      </c>
      <c r="D258" s="80"/>
      <c r="E258" s="81" t="str" cm="1">
        <f t="array" ref="E258">_xlfn.IFS($E$6="First-Line Scenario",IFERROR(C258/C258*'Mortgage Calculator'!$G$25," "),$E$6="Recommendation",IFERROR(C258/C258*'Mortgage Calculator'!$U$28,""))</f>
        <v/>
      </c>
      <c r="F258" s="82" t="str">
        <f>IFERROR(C258/C258*H257*'Mortgage Calculator'!$C$13/12,"")</f>
        <v/>
      </c>
      <c r="G258" s="82" t="str">
        <f t="shared" si="13"/>
        <v/>
      </c>
      <c r="H258" s="100" t="str">
        <f t="shared" si="14"/>
        <v/>
      </c>
      <c r="I258" s="74"/>
      <c r="J258" s="88" t="str">
        <f t="shared" si="15"/>
        <v/>
      </c>
      <c r="K258" s="73"/>
    </row>
    <row r="259" spans="2:11" x14ac:dyDescent="0.3">
      <c r="B259" s="73"/>
      <c r="C259" s="79" t="str">
        <f t="shared" si="12"/>
        <v/>
      </c>
      <c r="D259" s="80"/>
      <c r="E259" s="81" t="str" cm="1">
        <f t="array" ref="E259">_xlfn.IFS($E$6="First-Line Scenario",IFERROR(C259/C259*'Mortgage Calculator'!$G$25," "),$E$6="Recommendation",IFERROR(C259/C259*'Mortgage Calculator'!$U$28,""))</f>
        <v/>
      </c>
      <c r="F259" s="82" t="str">
        <f>IFERROR(C259/C259*H258*'Mortgage Calculator'!$C$13/12,"")</f>
        <v/>
      </c>
      <c r="G259" s="82" t="str">
        <f t="shared" si="13"/>
        <v/>
      </c>
      <c r="H259" s="100" t="str">
        <f t="shared" si="14"/>
        <v/>
      </c>
      <c r="I259" s="74"/>
      <c r="J259" s="88" t="str">
        <f t="shared" si="15"/>
        <v/>
      </c>
      <c r="K259" s="73"/>
    </row>
    <row r="260" spans="2:11" x14ac:dyDescent="0.3">
      <c r="B260" s="73"/>
      <c r="C260" s="79" t="str">
        <f t="shared" si="12"/>
        <v/>
      </c>
      <c r="D260" s="80"/>
      <c r="E260" s="81" t="str" cm="1">
        <f t="array" ref="E260">_xlfn.IFS($E$6="First-Line Scenario",IFERROR(C260/C260*'Mortgage Calculator'!$G$25," "),$E$6="Recommendation",IFERROR(C260/C260*'Mortgage Calculator'!$U$28,""))</f>
        <v/>
      </c>
      <c r="F260" s="82" t="str">
        <f>IFERROR(C260/C260*H259*'Mortgage Calculator'!$C$13/12,"")</f>
        <v/>
      </c>
      <c r="G260" s="82" t="str">
        <f t="shared" si="13"/>
        <v/>
      </c>
      <c r="H260" s="100" t="str">
        <f t="shared" si="14"/>
        <v/>
      </c>
      <c r="I260" s="74"/>
      <c r="J260" s="88" t="str">
        <f t="shared" si="15"/>
        <v/>
      </c>
      <c r="K260" s="73"/>
    </row>
    <row r="261" spans="2:11" x14ac:dyDescent="0.3">
      <c r="B261" s="73"/>
      <c r="C261" s="79" t="str">
        <f t="shared" si="12"/>
        <v/>
      </c>
      <c r="D261" s="80"/>
      <c r="E261" s="81" t="str" cm="1">
        <f t="array" ref="E261">_xlfn.IFS($E$6="First-Line Scenario",IFERROR(C261/C261*'Mortgage Calculator'!$G$25," "),$E$6="Recommendation",IFERROR(C261/C261*'Mortgage Calculator'!$U$28,""))</f>
        <v/>
      </c>
      <c r="F261" s="82" t="str">
        <f>IFERROR(C261/C261*H260*'Mortgage Calculator'!$C$13/12,"")</f>
        <v/>
      </c>
      <c r="G261" s="82" t="str">
        <f t="shared" si="13"/>
        <v/>
      </c>
      <c r="H261" s="100" t="str">
        <f t="shared" si="14"/>
        <v/>
      </c>
      <c r="I261" s="74"/>
      <c r="J261" s="88" t="str">
        <f t="shared" si="15"/>
        <v/>
      </c>
      <c r="K261" s="73"/>
    </row>
    <row r="262" spans="2:11" x14ac:dyDescent="0.3">
      <c r="B262" s="73"/>
      <c r="C262" s="79" t="str">
        <f t="shared" si="12"/>
        <v/>
      </c>
      <c r="D262" s="80"/>
      <c r="E262" s="81" t="str" cm="1">
        <f t="array" ref="E262">_xlfn.IFS($E$6="First-Line Scenario",IFERROR(C262/C262*'Mortgage Calculator'!$G$25," "),$E$6="Recommendation",IFERROR(C262/C262*'Mortgage Calculator'!$U$28,""))</f>
        <v/>
      </c>
      <c r="F262" s="82" t="str">
        <f>IFERROR(C262/C262*H261*'Mortgage Calculator'!$C$13/12,"")</f>
        <v/>
      </c>
      <c r="G262" s="82" t="str">
        <f t="shared" si="13"/>
        <v/>
      </c>
      <c r="H262" s="100" t="str">
        <f t="shared" si="14"/>
        <v/>
      </c>
      <c r="I262" s="74"/>
      <c r="J262" s="88" t="str">
        <f t="shared" si="15"/>
        <v/>
      </c>
      <c r="K262" s="73"/>
    </row>
    <row r="263" spans="2:11" x14ac:dyDescent="0.3">
      <c r="B263" s="73"/>
      <c r="C263" s="79" t="str">
        <f t="shared" si="12"/>
        <v/>
      </c>
      <c r="D263" s="80"/>
      <c r="E263" s="81" t="str" cm="1">
        <f t="array" ref="E263">_xlfn.IFS($E$6="First-Line Scenario",IFERROR(C263/C263*'Mortgage Calculator'!$G$25," "),$E$6="Recommendation",IFERROR(C263/C263*'Mortgage Calculator'!$U$28,""))</f>
        <v/>
      </c>
      <c r="F263" s="82" t="str">
        <f>IFERROR(C263/C263*H262*'Mortgage Calculator'!$C$13/12,"")</f>
        <v/>
      </c>
      <c r="G263" s="82" t="str">
        <f t="shared" si="13"/>
        <v/>
      </c>
      <c r="H263" s="100" t="str">
        <f t="shared" si="14"/>
        <v/>
      </c>
      <c r="I263" s="74"/>
      <c r="J263" s="88" t="str">
        <f t="shared" si="15"/>
        <v/>
      </c>
      <c r="K263" s="73"/>
    </row>
    <row r="264" spans="2:11" x14ac:dyDescent="0.3">
      <c r="B264" s="73"/>
      <c r="C264" s="79" t="str">
        <f t="shared" si="12"/>
        <v/>
      </c>
      <c r="D264" s="80"/>
      <c r="E264" s="81" t="str" cm="1">
        <f t="array" ref="E264">_xlfn.IFS($E$6="First-Line Scenario",IFERROR(C264/C264*'Mortgage Calculator'!$G$25," "),$E$6="Recommendation",IFERROR(C264/C264*'Mortgage Calculator'!$U$28,""))</f>
        <v/>
      </c>
      <c r="F264" s="82" t="str">
        <f>IFERROR(C264/C264*H263*'Mortgage Calculator'!$C$13/12,"")</f>
        <v/>
      </c>
      <c r="G264" s="82" t="str">
        <f t="shared" si="13"/>
        <v/>
      </c>
      <c r="H264" s="100" t="str">
        <f t="shared" si="14"/>
        <v/>
      </c>
      <c r="I264" s="74"/>
      <c r="J264" s="88" t="str">
        <f t="shared" si="15"/>
        <v/>
      </c>
      <c r="K264" s="73"/>
    </row>
    <row r="265" spans="2:11" x14ac:dyDescent="0.3">
      <c r="B265" s="73"/>
      <c r="C265" s="79" t="str">
        <f t="shared" si="12"/>
        <v/>
      </c>
      <c r="D265" s="80"/>
      <c r="E265" s="81" t="str" cm="1">
        <f t="array" ref="E265">_xlfn.IFS($E$6="First-Line Scenario",IFERROR(C265/C265*'Mortgage Calculator'!$G$25," "),$E$6="Recommendation",IFERROR(C265/C265*'Mortgage Calculator'!$U$28,""))</f>
        <v/>
      </c>
      <c r="F265" s="82" t="str">
        <f>IFERROR(C265/C265*H264*'Mortgage Calculator'!$C$13/12,"")</f>
        <v/>
      </c>
      <c r="G265" s="82" t="str">
        <f t="shared" si="13"/>
        <v/>
      </c>
      <c r="H265" s="100" t="str">
        <f t="shared" si="14"/>
        <v/>
      </c>
      <c r="I265" s="74"/>
      <c r="J265" s="88" t="str">
        <f t="shared" si="15"/>
        <v/>
      </c>
      <c r="K265" s="73"/>
    </row>
    <row r="266" spans="2:11" x14ac:dyDescent="0.3">
      <c r="B266" s="73"/>
      <c r="C266" s="79" t="str">
        <f t="shared" si="12"/>
        <v/>
      </c>
      <c r="D266" s="80"/>
      <c r="E266" s="81" t="str" cm="1">
        <f t="array" ref="E266">_xlfn.IFS($E$6="First-Line Scenario",IFERROR(C266/C266*'Mortgage Calculator'!$G$25," "),$E$6="Recommendation",IFERROR(C266/C266*'Mortgage Calculator'!$U$28,""))</f>
        <v/>
      </c>
      <c r="F266" s="82" t="str">
        <f>IFERROR(C266/C266*H265*'Mortgage Calculator'!$C$13/12,"")</f>
        <v/>
      </c>
      <c r="G266" s="82" t="str">
        <f t="shared" si="13"/>
        <v/>
      </c>
      <c r="H266" s="100" t="str">
        <f t="shared" si="14"/>
        <v/>
      </c>
      <c r="I266" s="74"/>
      <c r="J266" s="88" t="str">
        <f t="shared" si="15"/>
        <v/>
      </c>
      <c r="K266" s="73"/>
    </row>
    <row r="267" spans="2:11" x14ac:dyDescent="0.3">
      <c r="B267" s="73"/>
      <c r="C267" s="79" t="str">
        <f t="shared" si="12"/>
        <v/>
      </c>
      <c r="D267" s="80"/>
      <c r="E267" s="81" t="str" cm="1">
        <f t="array" ref="E267">_xlfn.IFS($E$6="First-Line Scenario",IFERROR(C267/C267*'Mortgage Calculator'!$G$25," "),$E$6="Recommendation",IFERROR(C267/C267*'Mortgage Calculator'!$U$28,""))</f>
        <v/>
      </c>
      <c r="F267" s="82" t="str">
        <f>IFERROR(C267/C267*H266*'Mortgage Calculator'!$C$13/12,"")</f>
        <v/>
      </c>
      <c r="G267" s="82" t="str">
        <f t="shared" si="13"/>
        <v/>
      </c>
      <c r="H267" s="100" t="str">
        <f t="shared" si="14"/>
        <v/>
      </c>
      <c r="I267" s="74"/>
      <c r="J267" s="88" t="str">
        <f t="shared" si="15"/>
        <v/>
      </c>
      <c r="K267" s="73"/>
    </row>
    <row r="268" spans="2:11" x14ac:dyDescent="0.3">
      <c r="B268" s="73"/>
      <c r="C268" s="79" t="str">
        <f t="shared" si="12"/>
        <v/>
      </c>
      <c r="D268" s="80"/>
      <c r="E268" s="81" t="str" cm="1">
        <f t="array" ref="E268">_xlfn.IFS($E$6="First-Line Scenario",IFERROR(C268/C268*'Mortgage Calculator'!$G$25," "),$E$6="Recommendation",IFERROR(C268/C268*'Mortgage Calculator'!$U$28,""))</f>
        <v/>
      </c>
      <c r="F268" s="82" t="str">
        <f>IFERROR(C268/C268*H267*'Mortgage Calculator'!$C$13/12,"")</f>
        <v/>
      </c>
      <c r="G268" s="82" t="str">
        <f t="shared" si="13"/>
        <v/>
      </c>
      <c r="H268" s="100" t="str">
        <f t="shared" si="14"/>
        <v/>
      </c>
      <c r="I268" s="74"/>
      <c r="J268" s="88" t="str">
        <f t="shared" si="15"/>
        <v/>
      </c>
      <c r="K268" s="73"/>
    </row>
    <row r="269" spans="2:11" x14ac:dyDescent="0.3">
      <c r="B269" s="73"/>
      <c r="C269" s="79" t="str">
        <f t="shared" ref="C269:C332" si="16">IF(D269="","",ROW()-11)</f>
        <v/>
      </c>
      <c r="D269" s="80"/>
      <c r="E269" s="81" t="str" cm="1">
        <f t="array" ref="E269">_xlfn.IFS($E$6="First-Line Scenario",IFERROR(C269/C269*'Mortgage Calculator'!$G$25," "),$E$6="Recommendation",IFERROR(C269/C269*'Mortgage Calculator'!$U$28,""))</f>
        <v/>
      </c>
      <c r="F269" s="82" t="str">
        <f>IFERROR(C269/C269*H268*'Mortgage Calculator'!$C$13/12,"")</f>
        <v/>
      </c>
      <c r="G269" s="82" t="str">
        <f t="shared" ref="G269:G332" si="17">IFERROR(E269-F269,"")</f>
        <v/>
      </c>
      <c r="H269" s="100" t="str">
        <f t="shared" ref="H269:H332" si="18">IFERROR(H268-G269,"")</f>
        <v/>
      </c>
      <c r="I269" s="74"/>
      <c r="J269" s="88" t="str">
        <f t="shared" ref="J269:J332" si="19">IFERROR(J268+F269,"")</f>
        <v/>
      </c>
      <c r="K269" s="73"/>
    </row>
    <row r="270" spans="2:11" x14ac:dyDescent="0.3">
      <c r="B270" s="73"/>
      <c r="C270" s="79" t="str">
        <f t="shared" si="16"/>
        <v/>
      </c>
      <c r="D270" s="80"/>
      <c r="E270" s="81" t="str" cm="1">
        <f t="array" ref="E270">_xlfn.IFS($E$6="First-Line Scenario",IFERROR(C270/C270*'Mortgage Calculator'!$G$25," "),$E$6="Recommendation",IFERROR(C270/C270*'Mortgage Calculator'!$U$28,""))</f>
        <v/>
      </c>
      <c r="F270" s="82" t="str">
        <f>IFERROR(C270/C270*H269*'Mortgage Calculator'!$C$13/12,"")</f>
        <v/>
      </c>
      <c r="G270" s="82" t="str">
        <f t="shared" si="17"/>
        <v/>
      </c>
      <c r="H270" s="100" t="str">
        <f t="shared" si="18"/>
        <v/>
      </c>
      <c r="I270" s="74"/>
      <c r="J270" s="88" t="str">
        <f t="shared" si="19"/>
        <v/>
      </c>
      <c r="K270" s="73"/>
    </row>
    <row r="271" spans="2:11" x14ac:dyDescent="0.3">
      <c r="B271" s="73"/>
      <c r="C271" s="79" t="str">
        <f t="shared" si="16"/>
        <v/>
      </c>
      <c r="D271" s="80"/>
      <c r="E271" s="81" t="str" cm="1">
        <f t="array" ref="E271">_xlfn.IFS($E$6="First-Line Scenario",IFERROR(C271/C271*'Mortgage Calculator'!$G$25," "),$E$6="Recommendation",IFERROR(C271/C271*'Mortgage Calculator'!$U$28,""))</f>
        <v/>
      </c>
      <c r="F271" s="82" t="str">
        <f>IFERROR(C271/C271*H270*'Mortgage Calculator'!$C$13/12,"")</f>
        <v/>
      </c>
      <c r="G271" s="82" t="str">
        <f t="shared" si="17"/>
        <v/>
      </c>
      <c r="H271" s="100" t="str">
        <f t="shared" si="18"/>
        <v/>
      </c>
      <c r="I271" s="74"/>
      <c r="J271" s="88" t="str">
        <f t="shared" si="19"/>
        <v/>
      </c>
      <c r="K271" s="73"/>
    </row>
    <row r="272" spans="2:11" x14ac:dyDescent="0.3">
      <c r="B272" s="73"/>
      <c r="C272" s="79" t="str">
        <f t="shared" si="16"/>
        <v/>
      </c>
      <c r="D272" s="80"/>
      <c r="E272" s="81" t="str" cm="1">
        <f t="array" ref="E272">_xlfn.IFS($E$6="First-Line Scenario",IFERROR(C272/C272*'Mortgage Calculator'!$G$25," "),$E$6="Recommendation",IFERROR(C272/C272*'Mortgage Calculator'!$U$28,""))</f>
        <v/>
      </c>
      <c r="F272" s="82" t="str">
        <f>IFERROR(C272/C272*H271*'Mortgage Calculator'!$C$13/12,"")</f>
        <v/>
      </c>
      <c r="G272" s="82" t="str">
        <f t="shared" si="17"/>
        <v/>
      </c>
      <c r="H272" s="100" t="str">
        <f t="shared" si="18"/>
        <v/>
      </c>
      <c r="I272" s="74"/>
      <c r="J272" s="88" t="str">
        <f t="shared" si="19"/>
        <v/>
      </c>
      <c r="K272" s="73"/>
    </row>
    <row r="273" spans="2:11" x14ac:dyDescent="0.3">
      <c r="B273" s="73"/>
      <c r="C273" s="79" t="str">
        <f t="shared" si="16"/>
        <v/>
      </c>
      <c r="D273" s="80"/>
      <c r="E273" s="81" t="str" cm="1">
        <f t="array" ref="E273">_xlfn.IFS($E$6="First-Line Scenario",IFERROR(C273/C273*'Mortgage Calculator'!$G$25," "),$E$6="Recommendation",IFERROR(C273/C273*'Mortgage Calculator'!$U$28,""))</f>
        <v/>
      </c>
      <c r="F273" s="82" t="str">
        <f>IFERROR(C273/C273*H272*'Mortgage Calculator'!$C$13/12,"")</f>
        <v/>
      </c>
      <c r="G273" s="82" t="str">
        <f t="shared" si="17"/>
        <v/>
      </c>
      <c r="H273" s="100" t="str">
        <f t="shared" si="18"/>
        <v/>
      </c>
      <c r="I273" s="74"/>
      <c r="J273" s="88" t="str">
        <f t="shared" si="19"/>
        <v/>
      </c>
      <c r="K273" s="73"/>
    </row>
    <row r="274" spans="2:11" x14ac:dyDescent="0.3">
      <c r="B274" s="73"/>
      <c r="C274" s="79" t="str">
        <f t="shared" si="16"/>
        <v/>
      </c>
      <c r="D274" s="80"/>
      <c r="E274" s="81" t="str" cm="1">
        <f t="array" ref="E274">_xlfn.IFS($E$6="First-Line Scenario",IFERROR(C274/C274*'Mortgage Calculator'!$G$25," "),$E$6="Recommendation",IFERROR(C274/C274*'Mortgage Calculator'!$U$28,""))</f>
        <v/>
      </c>
      <c r="F274" s="82" t="str">
        <f>IFERROR(C274/C274*H273*'Mortgage Calculator'!$C$13/12,"")</f>
        <v/>
      </c>
      <c r="G274" s="82" t="str">
        <f t="shared" si="17"/>
        <v/>
      </c>
      <c r="H274" s="100" t="str">
        <f t="shared" si="18"/>
        <v/>
      </c>
      <c r="I274" s="74"/>
      <c r="J274" s="88" t="str">
        <f t="shared" si="19"/>
        <v/>
      </c>
      <c r="K274" s="73"/>
    </row>
    <row r="275" spans="2:11" x14ac:dyDescent="0.3">
      <c r="B275" s="73"/>
      <c r="C275" s="79" t="str">
        <f t="shared" si="16"/>
        <v/>
      </c>
      <c r="D275" s="80"/>
      <c r="E275" s="81" t="str" cm="1">
        <f t="array" ref="E275">_xlfn.IFS($E$6="First-Line Scenario",IFERROR(C275/C275*'Mortgage Calculator'!$G$25," "),$E$6="Recommendation",IFERROR(C275/C275*'Mortgage Calculator'!$U$28,""))</f>
        <v/>
      </c>
      <c r="F275" s="82" t="str">
        <f>IFERROR(C275/C275*H274*'Mortgage Calculator'!$C$13/12,"")</f>
        <v/>
      </c>
      <c r="G275" s="82" t="str">
        <f t="shared" si="17"/>
        <v/>
      </c>
      <c r="H275" s="100" t="str">
        <f t="shared" si="18"/>
        <v/>
      </c>
      <c r="I275" s="74"/>
      <c r="J275" s="88" t="str">
        <f t="shared" si="19"/>
        <v/>
      </c>
      <c r="K275" s="73"/>
    </row>
    <row r="276" spans="2:11" x14ac:dyDescent="0.3">
      <c r="B276" s="73"/>
      <c r="C276" s="79" t="str">
        <f t="shared" si="16"/>
        <v/>
      </c>
      <c r="D276" s="80"/>
      <c r="E276" s="81" t="str" cm="1">
        <f t="array" ref="E276">_xlfn.IFS($E$6="First-Line Scenario",IFERROR(C276/C276*'Mortgage Calculator'!$G$25," "),$E$6="Recommendation",IFERROR(C276/C276*'Mortgage Calculator'!$U$28,""))</f>
        <v/>
      </c>
      <c r="F276" s="82" t="str">
        <f>IFERROR(C276/C276*H275*'Mortgage Calculator'!$C$13/12,"")</f>
        <v/>
      </c>
      <c r="G276" s="82" t="str">
        <f t="shared" si="17"/>
        <v/>
      </c>
      <c r="H276" s="100" t="str">
        <f t="shared" si="18"/>
        <v/>
      </c>
      <c r="I276" s="74"/>
      <c r="J276" s="88" t="str">
        <f t="shared" si="19"/>
        <v/>
      </c>
      <c r="K276" s="73"/>
    </row>
    <row r="277" spans="2:11" x14ac:dyDescent="0.3">
      <c r="B277" s="73"/>
      <c r="C277" s="79" t="str">
        <f t="shared" si="16"/>
        <v/>
      </c>
      <c r="D277" s="80"/>
      <c r="E277" s="81" t="str" cm="1">
        <f t="array" ref="E277">_xlfn.IFS($E$6="First-Line Scenario",IFERROR(C277/C277*'Mortgage Calculator'!$G$25," "),$E$6="Recommendation",IFERROR(C277/C277*'Mortgage Calculator'!$U$28,""))</f>
        <v/>
      </c>
      <c r="F277" s="82" t="str">
        <f>IFERROR(C277/C277*H276*'Mortgage Calculator'!$C$13/12,"")</f>
        <v/>
      </c>
      <c r="G277" s="82" t="str">
        <f t="shared" si="17"/>
        <v/>
      </c>
      <c r="H277" s="100" t="str">
        <f t="shared" si="18"/>
        <v/>
      </c>
      <c r="I277" s="74"/>
      <c r="J277" s="88" t="str">
        <f t="shared" si="19"/>
        <v/>
      </c>
      <c r="K277" s="73"/>
    </row>
    <row r="278" spans="2:11" x14ac:dyDescent="0.3">
      <c r="B278" s="73"/>
      <c r="C278" s="79" t="str">
        <f t="shared" si="16"/>
        <v/>
      </c>
      <c r="D278" s="80"/>
      <c r="E278" s="81" t="str" cm="1">
        <f t="array" ref="E278">_xlfn.IFS($E$6="First-Line Scenario",IFERROR(C278/C278*'Mortgage Calculator'!$G$25," "),$E$6="Recommendation",IFERROR(C278/C278*'Mortgage Calculator'!$U$28,""))</f>
        <v/>
      </c>
      <c r="F278" s="82" t="str">
        <f>IFERROR(C278/C278*H277*'Mortgage Calculator'!$C$13/12,"")</f>
        <v/>
      </c>
      <c r="G278" s="82" t="str">
        <f t="shared" si="17"/>
        <v/>
      </c>
      <c r="H278" s="100" t="str">
        <f t="shared" si="18"/>
        <v/>
      </c>
      <c r="I278" s="74"/>
      <c r="J278" s="88" t="str">
        <f t="shared" si="19"/>
        <v/>
      </c>
      <c r="K278" s="73"/>
    </row>
    <row r="279" spans="2:11" x14ac:dyDescent="0.3">
      <c r="B279" s="73"/>
      <c r="C279" s="79" t="str">
        <f t="shared" si="16"/>
        <v/>
      </c>
      <c r="D279" s="80"/>
      <c r="E279" s="81" t="str" cm="1">
        <f t="array" ref="E279">_xlfn.IFS($E$6="First-Line Scenario",IFERROR(C279/C279*'Mortgage Calculator'!$G$25," "),$E$6="Recommendation",IFERROR(C279/C279*'Mortgage Calculator'!$U$28,""))</f>
        <v/>
      </c>
      <c r="F279" s="82" t="str">
        <f>IFERROR(C279/C279*H278*'Mortgage Calculator'!$C$13/12,"")</f>
        <v/>
      </c>
      <c r="G279" s="82" t="str">
        <f t="shared" si="17"/>
        <v/>
      </c>
      <c r="H279" s="100" t="str">
        <f t="shared" si="18"/>
        <v/>
      </c>
      <c r="I279" s="74"/>
      <c r="J279" s="88" t="str">
        <f t="shared" si="19"/>
        <v/>
      </c>
      <c r="K279" s="73"/>
    </row>
    <row r="280" spans="2:11" x14ac:dyDescent="0.3">
      <c r="B280" s="73"/>
      <c r="C280" s="79" t="str">
        <f t="shared" si="16"/>
        <v/>
      </c>
      <c r="D280" s="80"/>
      <c r="E280" s="81" t="str" cm="1">
        <f t="array" ref="E280">_xlfn.IFS($E$6="First-Line Scenario",IFERROR(C280/C280*'Mortgage Calculator'!$G$25," "),$E$6="Recommendation",IFERROR(C280/C280*'Mortgage Calculator'!$U$28,""))</f>
        <v/>
      </c>
      <c r="F280" s="82" t="str">
        <f>IFERROR(C280/C280*H279*'Mortgage Calculator'!$C$13/12,"")</f>
        <v/>
      </c>
      <c r="G280" s="82" t="str">
        <f t="shared" si="17"/>
        <v/>
      </c>
      <c r="H280" s="100" t="str">
        <f t="shared" si="18"/>
        <v/>
      </c>
      <c r="I280" s="74"/>
      <c r="J280" s="88" t="str">
        <f t="shared" si="19"/>
        <v/>
      </c>
      <c r="K280" s="73"/>
    </row>
    <row r="281" spans="2:11" x14ac:dyDescent="0.3">
      <c r="B281" s="73"/>
      <c r="C281" s="79" t="str">
        <f t="shared" si="16"/>
        <v/>
      </c>
      <c r="D281" s="80"/>
      <c r="E281" s="81" t="str" cm="1">
        <f t="array" ref="E281">_xlfn.IFS($E$6="First-Line Scenario",IFERROR(C281/C281*'Mortgage Calculator'!$G$25," "),$E$6="Recommendation",IFERROR(C281/C281*'Mortgage Calculator'!$U$28,""))</f>
        <v/>
      </c>
      <c r="F281" s="82" t="str">
        <f>IFERROR(C281/C281*H280*'Mortgage Calculator'!$C$13/12,"")</f>
        <v/>
      </c>
      <c r="G281" s="82" t="str">
        <f t="shared" si="17"/>
        <v/>
      </c>
      <c r="H281" s="100" t="str">
        <f t="shared" si="18"/>
        <v/>
      </c>
      <c r="I281" s="74"/>
      <c r="J281" s="88" t="str">
        <f t="shared" si="19"/>
        <v/>
      </c>
      <c r="K281" s="73"/>
    </row>
    <row r="282" spans="2:11" x14ac:dyDescent="0.3">
      <c r="B282" s="73"/>
      <c r="C282" s="79" t="str">
        <f t="shared" si="16"/>
        <v/>
      </c>
      <c r="D282" s="80"/>
      <c r="E282" s="81" t="str" cm="1">
        <f t="array" ref="E282">_xlfn.IFS($E$6="First-Line Scenario",IFERROR(C282/C282*'Mortgage Calculator'!$G$25," "),$E$6="Recommendation",IFERROR(C282/C282*'Mortgage Calculator'!$U$28,""))</f>
        <v/>
      </c>
      <c r="F282" s="82" t="str">
        <f>IFERROR(C282/C282*H281*'Mortgage Calculator'!$C$13/12,"")</f>
        <v/>
      </c>
      <c r="G282" s="82" t="str">
        <f t="shared" si="17"/>
        <v/>
      </c>
      <c r="H282" s="100" t="str">
        <f t="shared" si="18"/>
        <v/>
      </c>
      <c r="I282" s="74"/>
      <c r="J282" s="88" t="str">
        <f t="shared" si="19"/>
        <v/>
      </c>
      <c r="K282" s="73"/>
    </row>
    <row r="283" spans="2:11" x14ac:dyDescent="0.3">
      <c r="B283" s="73"/>
      <c r="C283" s="79" t="str">
        <f t="shared" si="16"/>
        <v/>
      </c>
      <c r="D283" s="80"/>
      <c r="E283" s="81" t="str" cm="1">
        <f t="array" ref="E283">_xlfn.IFS($E$6="First-Line Scenario",IFERROR(C283/C283*'Mortgage Calculator'!$G$25," "),$E$6="Recommendation",IFERROR(C283/C283*'Mortgage Calculator'!$U$28,""))</f>
        <v/>
      </c>
      <c r="F283" s="82" t="str">
        <f>IFERROR(C283/C283*H282*'Mortgage Calculator'!$C$13/12,"")</f>
        <v/>
      </c>
      <c r="G283" s="82" t="str">
        <f t="shared" si="17"/>
        <v/>
      </c>
      <c r="H283" s="100" t="str">
        <f t="shared" si="18"/>
        <v/>
      </c>
      <c r="I283" s="74"/>
      <c r="J283" s="88" t="str">
        <f t="shared" si="19"/>
        <v/>
      </c>
      <c r="K283" s="73"/>
    </row>
    <row r="284" spans="2:11" x14ac:dyDescent="0.3">
      <c r="B284" s="73"/>
      <c r="C284" s="79" t="str">
        <f t="shared" si="16"/>
        <v/>
      </c>
      <c r="D284" s="80"/>
      <c r="E284" s="81" t="str" cm="1">
        <f t="array" ref="E284">_xlfn.IFS($E$6="First-Line Scenario",IFERROR(C284/C284*'Mortgage Calculator'!$G$25," "),$E$6="Recommendation",IFERROR(C284/C284*'Mortgage Calculator'!$U$28,""))</f>
        <v/>
      </c>
      <c r="F284" s="82" t="str">
        <f>IFERROR(C284/C284*H283*'Mortgage Calculator'!$C$13/12,"")</f>
        <v/>
      </c>
      <c r="G284" s="82" t="str">
        <f t="shared" si="17"/>
        <v/>
      </c>
      <c r="H284" s="100" t="str">
        <f t="shared" si="18"/>
        <v/>
      </c>
      <c r="I284" s="74"/>
      <c r="J284" s="88" t="str">
        <f t="shared" si="19"/>
        <v/>
      </c>
      <c r="K284" s="73"/>
    </row>
    <row r="285" spans="2:11" x14ac:dyDescent="0.3">
      <c r="B285" s="73"/>
      <c r="C285" s="79" t="str">
        <f t="shared" si="16"/>
        <v/>
      </c>
      <c r="D285" s="80"/>
      <c r="E285" s="81" t="str" cm="1">
        <f t="array" ref="E285">_xlfn.IFS($E$6="First-Line Scenario",IFERROR(C285/C285*'Mortgage Calculator'!$G$25," "),$E$6="Recommendation",IFERROR(C285/C285*'Mortgage Calculator'!$U$28,""))</f>
        <v/>
      </c>
      <c r="F285" s="82" t="str">
        <f>IFERROR(C285/C285*H284*'Mortgage Calculator'!$C$13/12,"")</f>
        <v/>
      </c>
      <c r="G285" s="82" t="str">
        <f t="shared" si="17"/>
        <v/>
      </c>
      <c r="H285" s="100" t="str">
        <f t="shared" si="18"/>
        <v/>
      </c>
      <c r="I285" s="74"/>
      <c r="J285" s="88" t="str">
        <f t="shared" si="19"/>
        <v/>
      </c>
      <c r="K285" s="73"/>
    </row>
    <row r="286" spans="2:11" x14ac:dyDescent="0.3">
      <c r="B286" s="73"/>
      <c r="C286" s="79" t="str">
        <f t="shared" si="16"/>
        <v/>
      </c>
      <c r="D286" s="80"/>
      <c r="E286" s="81" t="str" cm="1">
        <f t="array" ref="E286">_xlfn.IFS($E$6="First-Line Scenario",IFERROR(C286/C286*'Mortgage Calculator'!$G$25," "),$E$6="Recommendation",IFERROR(C286/C286*'Mortgage Calculator'!$U$28,""))</f>
        <v/>
      </c>
      <c r="F286" s="82" t="str">
        <f>IFERROR(C286/C286*H285*'Mortgage Calculator'!$C$13/12,"")</f>
        <v/>
      </c>
      <c r="G286" s="82" t="str">
        <f t="shared" si="17"/>
        <v/>
      </c>
      <c r="H286" s="100" t="str">
        <f t="shared" si="18"/>
        <v/>
      </c>
      <c r="I286" s="74"/>
      <c r="J286" s="88" t="str">
        <f t="shared" si="19"/>
        <v/>
      </c>
      <c r="K286" s="73"/>
    </row>
    <row r="287" spans="2:11" x14ac:dyDescent="0.3">
      <c r="B287" s="73"/>
      <c r="C287" s="79" t="str">
        <f t="shared" si="16"/>
        <v/>
      </c>
      <c r="D287" s="80"/>
      <c r="E287" s="81" t="str" cm="1">
        <f t="array" ref="E287">_xlfn.IFS($E$6="First-Line Scenario",IFERROR(C287/C287*'Mortgage Calculator'!$G$25," "),$E$6="Recommendation",IFERROR(C287/C287*'Mortgage Calculator'!$U$28,""))</f>
        <v/>
      </c>
      <c r="F287" s="82" t="str">
        <f>IFERROR(C287/C287*H286*'Mortgage Calculator'!$C$13/12,"")</f>
        <v/>
      </c>
      <c r="G287" s="82" t="str">
        <f t="shared" si="17"/>
        <v/>
      </c>
      <c r="H287" s="100" t="str">
        <f t="shared" si="18"/>
        <v/>
      </c>
      <c r="I287" s="74"/>
      <c r="J287" s="88" t="str">
        <f t="shared" si="19"/>
        <v/>
      </c>
      <c r="K287" s="73"/>
    </row>
    <row r="288" spans="2:11" x14ac:dyDescent="0.3">
      <c r="B288" s="73"/>
      <c r="C288" s="79" t="str">
        <f t="shared" si="16"/>
        <v/>
      </c>
      <c r="D288" s="80"/>
      <c r="E288" s="81" t="str" cm="1">
        <f t="array" ref="E288">_xlfn.IFS($E$6="First-Line Scenario",IFERROR(C288/C288*'Mortgage Calculator'!$G$25," "),$E$6="Recommendation",IFERROR(C288/C288*'Mortgage Calculator'!$U$28,""))</f>
        <v/>
      </c>
      <c r="F288" s="82" t="str">
        <f>IFERROR(C288/C288*H287*'Mortgage Calculator'!$C$13/12,"")</f>
        <v/>
      </c>
      <c r="G288" s="82" t="str">
        <f t="shared" si="17"/>
        <v/>
      </c>
      <c r="H288" s="100" t="str">
        <f t="shared" si="18"/>
        <v/>
      </c>
      <c r="I288" s="74"/>
      <c r="J288" s="88" t="str">
        <f t="shared" si="19"/>
        <v/>
      </c>
      <c r="K288" s="73"/>
    </row>
    <row r="289" spans="2:11" x14ac:dyDescent="0.3">
      <c r="B289" s="73"/>
      <c r="C289" s="79" t="str">
        <f t="shared" si="16"/>
        <v/>
      </c>
      <c r="D289" s="80"/>
      <c r="E289" s="81" t="str" cm="1">
        <f t="array" ref="E289">_xlfn.IFS($E$6="First-Line Scenario",IFERROR(C289/C289*'Mortgage Calculator'!$G$25," "),$E$6="Recommendation",IFERROR(C289/C289*'Mortgage Calculator'!$U$28,""))</f>
        <v/>
      </c>
      <c r="F289" s="82" t="str">
        <f>IFERROR(C289/C289*H288*'Mortgage Calculator'!$C$13/12,"")</f>
        <v/>
      </c>
      <c r="G289" s="82" t="str">
        <f t="shared" si="17"/>
        <v/>
      </c>
      <c r="H289" s="100" t="str">
        <f t="shared" si="18"/>
        <v/>
      </c>
      <c r="I289" s="74"/>
      <c r="J289" s="88" t="str">
        <f t="shared" si="19"/>
        <v/>
      </c>
      <c r="K289" s="73"/>
    </row>
    <row r="290" spans="2:11" x14ac:dyDescent="0.3">
      <c r="B290" s="73"/>
      <c r="C290" s="79" t="str">
        <f t="shared" si="16"/>
        <v/>
      </c>
      <c r="D290" s="80"/>
      <c r="E290" s="81" t="str" cm="1">
        <f t="array" ref="E290">_xlfn.IFS($E$6="First-Line Scenario",IFERROR(C290/C290*'Mortgage Calculator'!$G$25," "),$E$6="Recommendation",IFERROR(C290/C290*'Mortgage Calculator'!$U$28,""))</f>
        <v/>
      </c>
      <c r="F290" s="82" t="str">
        <f>IFERROR(C290/C290*H289*'Mortgage Calculator'!$C$13/12,"")</f>
        <v/>
      </c>
      <c r="G290" s="82" t="str">
        <f t="shared" si="17"/>
        <v/>
      </c>
      <c r="H290" s="100" t="str">
        <f t="shared" si="18"/>
        <v/>
      </c>
      <c r="I290" s="74"/>
      <c r="J290" s="88" t="str">
        <f t="shared" si="19"/>
        <v/>
      </c>
      <c r="K290" s="73"/>
    </row>
    <row r="291" spans="2:11" x14ac:dyDescent="0.3">
      <c r="B291" s="73"/>
      <c r="C291" s="79" t="str">
        <f t="shared" si="16"/>
        <v/>
      </c>
      <c r="D291" s="80"/>
      <c r="E291" s="81" t="str" cm="1">
        <f t="array" ref="E291">_xlfn.IFS($E$6="First-Line Scenario",IFERROR(C291/C291*'Mortgage Calculator'!$G$25," "),$E$6="Recommendation",IFERROR(C291/C291*'Mortgage Calculator'!$U$28,""))</f>
        <v/>
      </c>
      <c r="F291" s="82" t="str">
        <f>IFERROR(C291/C291*H290*'Mortgage Calculator'!$C$13/12,"")</f>
        <v/>
      </c>
      <c r="G291" s="82" t="str">
        <f t="shared" si="17"/>
        <v/>
      </c>
      <c r="H291" s="100" t="str">
        <f t="shared" si="18"/>
        <v/>
      </c>
      <c r="I291" s="74"/>
      <c r="J291" s="88" t="str">
        <f t="shared" si="19"/>
        <v/>
      </c>
      <c r="K291" s="73"/>
    </row>
    <row r="292" spans="2:11" x14ac:dyDescent="0.3">
      <c r="B292" s="73"/>
      <c r="C292" s="79" t="str">
        <f t="shared" si="16"/>
        <v/>
      </c>
      <c r="D292" s="80"/>
      <c r="E292" s="81" t="str" cm="1">
        <f t="array" ref="E292">_xlfn.IFS($E$6="First-Line Scenario",IFERROR(C292/C292*'Mortgage Calculator'!$G$25," "),$E$6="Recommendation",IFERROR(C292/C292*'Mortgage Calculator'!$U$28,""))</f>
        <v/>
      </c>
      <c r="F292" s="82" t="str">
        <f>IFERROR(C292/C292*H291*'Mortgage Calculator'!$C$13/12,"")</f>
        <v/>
      </c>
      <c r="G292" s="82" t="str">
        <f t="shared" si="17"/>
        <v/>
      </c>
      <c r="H292" s="100" t="str">
        <f t="shared" si="18"/>
        <v/>
      </c>
      <c r="I292" s="74"/>
      <c r="J292" s="88" t="str">
        <f t="shared" si="19"/>
        <v/>
      </c>
      <c r="K292" s="73"/>
    </row>
    <row r="293" spans="2:11" x14ac:dyDescent="0.3">
      <c r="B293" s="73"/>
      <c r="C293" s="79" t="str">
        <f t="shared" si="16"/>
        <v/>
      </c>
      <c r="D293" s="80"/>
      <c r="E293" s="81" t="str" cm="1">
        <f t="array" ref="E293">_xlfn.IFS($E$6="First-Line Scenario",IFERROR(C293/C293*'Mortgage Calculator'!$G$25," "),$E$6="Recommendation",IFERROR(C293/C293*'Mortgage Calculator'!$U$28,""))</f>
        <v/>
      </c>
      <c r="F293" s="82" t="str">
        <f>IFERROR(C293/C293*H292*'Mortgage Calculator'!$C$13/12,"")</f>
        <v/>
      </c>
      <c r="G293" s="82" t="str">
        <f t="shared" si="17"/>
        <v/>
      </c>
      <c r="H293" s="100" t="str">
        <f t="shared" si="18"/>
        <v/>
      </c>
      <c r="I293" s="74"/>
      <c r="J293" s="88" t="str">
        <f t="shared" si="19"/>
        <v/>
      </c>
      <c r="K293" s="73"/>
    </row>
    <row r="294" spans="2:11" x14ac:dyDescent="0.3">
      <c r="B294" s="73"/>
      <c r="C294" s="79" t="str">
        <f t="shared" si="16"/>
        <v/>
      </c>
      <c r="D294" s="80"/>
      <c r="E294" s="81" t="str" cm="1">
        <f t="array" ref="E294">_xlfn.IFS($E$6="First-Line Scenario",IFERROR(C294/C294*'Mortgage Calculator'!$G$25," "),$E$6="Recommendation",IFERROR(C294/C294*'Mortgage Calculator'!$U$28,""))</f>
        <v/>
      </c>
      <c r="F294" s="82" t="str">
        <f>IFERROR(C294/C294*H293*'Mortgage Calculator'!$C$13/12,"")</f>
        <v/>
      </c>
      <c r="G294" s="82" t="str">
        <f t="shared" si="17"/>
        <v/>
      </c>
      <c r="H294" s="100" t="str">
        <f t="shared" si="18"/>
        <v/>
      </c>
      <c r="I294" s="74"/>
      <c r="J294" s="88" t="str">
        <f t="shared" si="19"/>
        <v/>
      </c>
      <c r="K294" s="73"/>
    </row>
    <row r="295" spans="2:11" x14ac:dyDescent="0.3">
      <c r="B295" s="73"/>
      <c r="C295" s="79" t="str">
        <f t="shared" si="16"/>
        <v/>
      </c>
      <c r="D295" s="80"/>
      <c r="E295" s="81" t="str" cm="1">
        <f t="array" ref="E295">_xlfn.IFS($E$6="First-Line Scenario",IFERROR(C295/C295*'Mortgage Calculator'!$G$25," "),$E$6="Recommendation",IFERROR(C295/C295*'Mortgage Calculator'!$U$28,""))</f>
        <v/>
      </c>
      <c r="F295" s="82" t="str">
        <f>IFERROR(C295/C295*H294*'Mortgage Calculator'!$C$13/12,"")</f>
        <v/>
      </c>
      <c r="G295" s="82" t="str">
        <f t="shared" si="17"/>
        <v/>
      </c>
      <c r="H295" s="100" t="str">
        <f t="shared" si="18"/>
        <v/>
      </c>
      <c r="I295" s="74"/>
      <c r="J295" s="88" t="str">
        <f t="shared" si="19"/>
        <v/>
      </c>
      <c r="K295" s="73"/>
    </row>
    <row r="296" spans="2:11" x14ac:dyDescent="0.3">
      <c r="B296" s="73"/>
      <c r="C296" s="79" t="str">
        <f t="shared" si="16"/>
        <v/>
      </c>
      <c r="D296" s="80"/>
      <c r="E296" s="81" t="str" cm="1">
        <f t="array" ref="E296">_xlfn.IFS($E$6="First-Line Scenario",IFERROR(C296/C296*'Mortgage Calculator'!$G$25," "),$E$6="Recommendation",IFERROR(C296/C296*'Mortgage Calculator'!$U$28,""))</f>
        <v/>
      </c>
      <c r="F296" s="82" t="str">
        <f>IFERROR(C296/C296*H295*'Mortgage Calculator'!$C$13/12,"")</f>
        <v/>
      </c>
      <c r="G296" s="82" t="str">
        <f t="shared" si="17"/>
        <v/>
      </c>
      <c r="H296" s="100" t="str">
        <f t="shared" si="18"/>
        <v/>
      </c>
      <c r="I296" s="74"/>
      <c r="J296" s="88" t="str">
        <f t="shared" si="19"/>
        <v/>
      </c>
      <c r="K296" s="73"/>
    </row>
    <row r="297" spans="2:11" x14ac:dyDescent="0.3">
      <c r="B297" s="73"/>
      <c r="C297" s="79" t="str">
        <f t="shared" si="16"/>
        <v/>
      </c>
      <c r="D297" s="80"/>
      <c r="E297" s="81" t="str" cm="1">
        <f t="array" ref="E297">_xlfn.IFS($E$6="First-Line Scenario",IFERROR(C297/C297*'Mortgage Calculator'!$G$25," "),$E$6="Recommendation",IFERROR(C297/C297*'Mortgage Calculator'!$U$28,""))</f>
        <v/>
      </c>
      <c r="F297" s="82" t="str">
        <f>IFERROR(C297/C297*H296*'Mortgage Calculator'!$C$13/12,"")</f>
        <v/>
      </c>
      <c r="G297" s="82" t="str">
        <f t="shared" si="17"/>
        <v/>
      </c>
      <c r="H297" s="100" t="str">
        <f t="shared" si="18"/>
        <v/>
      </c>
      <c r="I297" s="74"/>
      <c r="J297" s="88" t="str">
        <f t="shared" si="19"/>
        <v/>
      </c>
      <c r="K297" s="73"/>
    </row>
    <row r="298" spans="2:11" x14ac:dyDescent="0.3">
      <c r="B298" s="73"/>
      <c r="C298" s="79" t="str">
        <f t="shared" si="16"/>
        <v/>
      </c>
      <c r="D298" s="80"/>
      <c r="E298" s="81" t="str" cm="1">
        <f t="array" ref="E298">_xlfn.IFS($E$6="First-Line Scenario",IFERROR(C298/C298*'Mortgage Calculator'!$G$25," "),$E$6="Recommendation",IFERROR(C298/C298*'Mortgage Calculator'!$U$28,""))</f>
        <v/>
      </c>
      <c r="F298" s="82" t="str">
        <f>IFERROR(C298/C298*H297*'Mortgage Calculator'!$C$13/12,"")</f>
        <v/>
      </c>
      <c r="G298" s="82" t="str">
        <f t="shared" si="17"/>
        <v/>
      </c>
      <c r="H298" s="100" t="str">
        <f t="shared" si="18"/>
        <v/>
      </c>
      <c r="I298" s="74"/>
      <c r="J298" s="88" t="str">
        <f t="shared" si="19"/>
        <v/>
      </c>
      <c r="K298" s="73"/>
    </row>
    <row r="299" spans="2:11" x14ac:dyDescent="0.3">
      <c r="B299" s="73"/>
      <c r="C299" s="79" t="str">
        <f t="shared" si="16"/>
        <v/>
      </c>
      <c r="D299" s="80"/>
      <c r="E299" s="81" t="str" cm="1">
        <f t="array" ref="E299">_xlfn.IFS($E$6="First-Line Scenario",IFERROR(C299/C299*'Mortgage Calculator'!$G$25," "),$E$6="Recommendation",IFERROR(C299/C299*'Mortgage Calculator'!$U$28,""))</f>
        <v/>
      </c>
      <c r="F299" s="82" t="str">
        <f>IFERROR(C299/C299*H298*'Mortgage Calculator'!$C$13/12,"")</f>
        <v/>
      </c>
      <c r="G299" s="82" t="str">
        <f t="shared" si="17"/>
        <v/>
      </c>
      <c r="H299" s="100" t="str">
        <f t="shared" si="18"/>
        <v/>
      </c>
      <c r="I299" s="74"/>
      <c r="J299" s="88" t="str">
        <f t="shared" si="19"/>
        <v/>
      </c>
      <c r="K299" s="73"/>
    </row>
    <row r="300" spans="2:11" x14ac:dyDescent="0.3">
      <c r="B300" s="73"/>
      <c r="C300" s="79" t="str">
        <f t="shared" si="16"/>
        <v/>
      </c>
      <c r="D300" s="80"/>
      <c r="E300" s="81" t="str" cm="1">
        <f t="array" ref="E300">_xlfn.IFS($E$6="First-Line Scenario",IFERROR(C300/C300*'Mortgage Calculator'!$G$25," "),$E$6="Recommendation",IFERROR(C300/C300*'Mortgage Calculator'!$U$28,""))</f>
        <v/>
      </c>
      <c r="F300" s="82" t="str">
        <f>IFERROR(C300/C300*H299*'Mortgage Calculator'!$C$13/12,"")</f>
        <v/>
      </c>
      <c r="G300" s="82" t="str">
        <f t="shared" si="17"/>
        <v/>
      </c>
      <c r="H300" s="100" t="str">
        <f t="shared" si="18"/>
        <v/>
      </c>
      <c r="I300" s="74"/>
      <c r="J300" s="88" t="str">
        <f t="shared" si="19"/>
        <v/>
      </c>
      <c r="K300" s="73"/>
    </row>
    <row r="301" spans="2:11" x14ac:dyDescent="0.3">
      <c r="B301" s="73"/>
      <c r="C301" s="79" t="str">
        <f t="shared" si="16"/>
        <v/>
      </c>
      <c r="D301" s="80"/>
      <c r="E301" s="81" t="str" cm="1">
        <f t="array" ref="E301">_xlfn.IFS($E$6="First-Line Scenario",IFERROR(C301/C301*'Mortgage Calculator'!$G$25," "),$E$6="Recommendation",IFERROR(C301/C301*'Mortgage Calculator'!$U$28,""))</f>
        <v/>
      </c>
      <c r="F301" s="82" t="str">
        <f>IFERROR(C301/C301*H300*'Mortgage Calculator'!$C$13/12,"")</f>
        <v/>
      </c>
      <c r="G301" s="82" t="str">
        <f t="shared" si="17"/>
        <v/>
      </c>
      <c r="H301" s="100" t="str">
        <f t="shared" si="18"/>
        <v/>
      </c>
      <c r="I301" s="74"/>
      <c r="J301" s="88" t="str">
        <f t="shared" si="19"/>
        <v/>
      </c>
      <c r="K301" s="73"/>
    </row>
    <row r="302" spans="2:11" x14ac:dyDescent="0.3">
      <c r="B302" s="73"/>
      <c r="C302" s="79" t="str">
        <f t="shared" si="16"/>
        <v/>
      </c>
      <c r="D302" s="80"/>
      <c r="E302" s="81" t="str" cm="1">
        <f t="array" ref="E302">_xlfn.IFS($E$6="First-Line Scenario",IFERROR(C302/C302*'Mortgage Calculator'!$G$25," "),$E$6="Recommendation",IFERROR(C302/C302*'Mortgage Calculator'!$U$28,""))</f>
        <v/>
      </c>
      <c r="F302" s="82" t="str">
        <f>IFERROR(C302/C302*H301*'Mortgage Calculator'!$C$13/12,"")</f>
        <v/>
      </c>
      <c r="G302" s="82" t="str">
        <f t="shared" si="17"/>
        <v/>
      </c>
      <c r="H302" s="100" t="str">
        <f t="shared" si="18"/>
        <v/>
      </c>
      <c r="I302" s="74"/>
      <c r="J302" s="88" t="str">
        <f t="shared" si="19"/>
        <v/>
      </c>
      <c r="K302" s="73"/>
    </row>
    <row r="303" spans="2:11" x14ac:dyDescent="0.3">
      <c r="B303" s="73"/>
      <c r="C303" s="79" t="str">
        <f t="shared" si="16"/>
        <v/>
      </c>
      <c r="D303" s="80"/>
      <c r="E303" s="81" t="str" cm="1">
        <f t="array" ref="E303">_xlfn.IFS($E$6="First-Line Scenario",IFERROR(C303/C303*'Mortgage Calculator'!$G$25," "),$E$6="Recommendation",IFERROR(C303/C303*'Mortgage Calculator'!$U$28,""))</f>
        <v/>
      </c>
      <c r="F303" s="82" t="str">
        <f>IFERROR(C303/C303*H302*'Mortgage Calculator'!$C$13/12,"")</f>
        <v/>
      </c>
      <c r="G303" s="82" t="str">
        <f t="shared" si="17"/>
        <v/>
      </c>
      <c r="H303" s="100" t="str">
        <f t="shared" si="18"/>
        <v/>
      </c>
      <c r="I303" s="74"/>
      <c r="J303" s="88" t="str">
        <f t="shared" si="19"/>
        <v/>
      </c>
      <c r="K303" s="73"/>
    </row>
    <row r="304" spans="2:11" x14ac:dyDescent="0.3">
      <c r="B304" s="73"/>
      <c r="C304" s="79" t="str">
        <f t="shared" si="16"/>
        <v/>
      </c>
      <c r="D304" s="80"/>
      <c r="E304" s="81" t="str" cm="1">
        <f t="array" ref="E304">_xlfn.IFS($E$6="First-Line Scenario",IFERROR(C304/C304*'Mortgage Calculator'!$G$25," "),$E$6="Recommendation",IFERROR(C304/C304*'Mortgage Calculator'!$U$28,""))</f>
        <v/>
      </c>
      <c r="F304" s="82" t="str">
        <f>IFERROR(C304/C304*H303*'Mortgage Calculator'!$C$13/12,"")</f>
        <v/>
      </c>
      <c r="G304" s="82" t="str">
        <f t="shared" si="17"/>
        <v/>
      </c>
      <c r="H304" s="100" t="str">
        <f t="shared" si="18"/>
        <v/>
      </c>
      <c r="I304" s="74"/>
      <c r="J304" s="88" t="str">
        <f t="shared" si="19"/>
        <v/>
      </c>
      <c r="K304" s="73"/>
    </row>
    <row r="305" spans="2:11" x14ac:dyDescent="0.3">
      <c r="B305" s="73"/>
      <c r="C305" s="79" t="str">
        <f t="shared" si="16"/>
        <v/>
      </c>
      <c r="D305" s="80"/>
      <c r="E305" s="81" t="str" cm="1">
        <f t="array" ref="E305">_xlfn.IFS($E$6="First-Line Scenario",IFERROR(C305/C305*'Mortgage Calculator'!$G$25," "),$E$6="Recommendation",IFERROR(C305/C305*'Mortgage Calculator'!$U$28,""))</f>
        <v/>
      </c>
      <c r="F305" s="82" t="str">
        <f>IFERROR(C305/C305*H304*'Mortgage Calculator'!$C$13/12,"")</f>
        <v/>
      </c>
      <c r="G305" s="82" t="str">
        <f t="shared" si="17"/>
        <v/>
      </c>
      <c r="H305" s="100" t="str">
        <f t="shared" si="18"/>
        <v/>
      </c>
      <c r="I305" s="74"/>
      <c r="J305" s="88" t="str">
        <f t="shared" si="19"/>
        <v/>
      </c>
      <c r="K305" s="73"/>
    </row>
    <row r="306" spans="2:11" x14ac:dyDescent="0.3">
      <c r="B306" s="73"/>
      <c r="C306" s="79" t="str">
        <f t="shared" si="16"/>
        <v/>
      </c>
      <c r="D306" s="80"/>
      <c r="E306" s="81" t="str" cm="1">
        <f t="array" ref="E306">_xlfn.IFS($E$6="First-Line Scenario",IFERROR(C306/C306*'Mortgage Calculator'!$G$25," "),$E$6="Recommendation",IFERROR(C306/C306*'Mortgage Calculator'!$U$28,""))</f>
        <v/>
      </c>
      <c r="F306" s="82" t="str">
        <f>IFERROR(C306/C306*H305*'Mortgage Calculator'!$C$13/12,"")</f>
        <v/>
      </c>
      <c r="G306" s="82" t="str">
        <f t="shared" si="17"/>
        <v/>
      </c>
      <c r="H306" s="100" t="str">
        <f t="shared" si="18"/>
        <v/>
      </c>
      <c r="I306" s="74"/>
      <c r="J306" s="88" t="str">
        <f t="shared" si="19"/>
        <v/>
      </c>
      <c r="K306" s="73"/>
    </row>
    <row r="307" spans="2:11" x14ac:dyDescent="0.3">
      <c r="B307" s="73"/>
      <c r="C307" s="79" t="str">
        <f t="shared" si="16"/>
        <v/>
      </c>
      <c r="D307" s="80"/>
      <c r="E307" s="81" t="str" cm="1">
        <f t="array" ref="E307">_xlfn.IFS($E$6="First-Line Scenario",IFERROR(C307/C307*'Mortgage Calculator'!$G$25," "),$E$6="Recommendation",IFERROR(C307/C307*'Mortgage Calculator'!$U$28,""))</f>
        <v/>
      </c>
      <c r="F307" s="82" t="str">
        <f>IFERROR(C307/C307*H306*'Mortgage Calculator'!$C$13/12,"")</f>
        <v/>
      </c>
      <c r="G307" s="82" t="str">
        <f t="shared" si="17"/>
        <v/>
      </c>
      <c r="H307" s="100" t="str">
        <f t="shared" si="18"/>
        <v/>
      </c>
      <c r="I307" s="74"/>
      <c r="J307" s="88" t="str">
        <f t="shared" si="19"/>
        <v/>
      </c>
      <c r="K307" s="73"/>
    </row>
    <row r="308" spans="2:11" x14ac:dyDescent="0.3">
      <c r="B308" s="73"/>
      <c r="C308" s="79" t="str">
        <f t="shared" si="16"/>
        <v/>
      </c>
      <c r="D308" s="80"/>
      <c r="E308" s="81" t="str" cm="1">
        <f t="array" ref="E308">_xlfn.IFS($E$6="First-Line Scenario",IFERROR(C308/C308*'Mortgage Calculator'!$G$25," "),$E$6="Recommendation",IFERROR(C308/C308*'Mortgage Calculator'!$U$28,""))</f>
        <v/>
      </c>
      <c r="F308" s="82" t="str">
        <f>IFERROR(C308/C308*H307*'Mortgage Calculator'!$C$13/12,"")</f>
        <v/>
      </c>
      <c r="G308" s="82" t="str">
        <f t="shared" si="17"/>
        <v/>
      </c>
      <c r="H308" s="100" t="str">
        <f t="shared" si="18"/>
        <v/>
      </c>
      <c r="I308" s="74"/>
      <c r="J308" s="88" t="str">
        <f t="shared" si="19"/>
        <v/>
      </c>
      <c r="K308" s="73"/>
    </row>
    <row r="309" spans="2:11" x14ac:dyDescent="0.3">
      <c r="B309" s="73"/>
      <c r="C309" s="79" t="str">
        <f t="shared" si="16"/>
        <v/>
      </c>
      <c r="D309" s="80"/>
      <c r="E309" s="81" t="str" cm="1">
        <f t="array" ref="E309">_xlfn.IFS($E$6="First-Line Scenario",IFERROR(C309/C309*'Mortgage Calculator'!$G$25," "),$E$6="Recommendation",IFERROR(C309/C309*'Mortgage Calculator'!$U$28,""))</f>
        <v/>
      </c>
      <c r="F309" s="82" t="str">
        <f>IFERROR(C309/C309*H308*'Mortgage Calculator'!$C$13/12,"")</f>
        <v/>
      </c>
      <c r="G309" s="82" t="str">
        <f t="shared" si="17"/>
        <v/>
      </c>
      <c r="H309" s="100" t="str">
        <f t="shared" si="18"/>
        <v/>
      </c>
      <c r="I309" s="74"/>
      <c r="J309" s="88" t="str">
        <f t="shared" si="19"/>
        <v/>
      </c>
      <c r="K309" s="73"/>
    </row>
    <row r="310" spans="2:11" x14ac:dyDescent="0.3">
      <c r="B310" s="73"/>
      <c r="C310" s="79" t="str">
        <f t="shared" si="16"/>
        <v/>
      </c>
      <c r="D310" s="80"/>
      <c r="E310" s="81" t="str" cm="1">
        <f t="array" ref="E310">_xlfn.IFS($E$6="First-Line Scenario",IFERROR(C310/C310*'Mortgage Calculator'!$G$25," "),$E$6="Recommendation",IFERROR(C310/C310*'Mortgage Calculator'!$U$28,""))</f>
        <v/>
      </c>
      <c r="F310" s="82" t="str">
        <f>IFERROR(C310/C310*H309*'Mortgage Calculator'!$C$13/12,"")</f>
        <v/>
      </c>
      <c r="G310" s="82" t="str">
        <f t="shared" si="17"/>
        <v/>
      </c>
      <c r="H310" s="100" t="str">
        <f t="shared" si="18"/>
        <v/>
      </c>
      <c r="I310" s="74"/>
      <c r="J310" s="88" t="str">
        <f t="shared" si="19"/>
        <v/>
      </c>
      <c r="K310" s="73"/>
    </row>
    <row r="311" spans="2:11" x14ac:dyDescent="0.3">
      <c r="B311" s="73"/>
      <c r="C311" s="79" t="str">
        <f t="shared" si="16"/>
        <v/>
      </c>
      <c r="D311" s="80"/>
      <c r="E311" s="81" t="str" cm="1">
        <f t="array" ref="E311">_xlfn.IFS($E$6="First-Line Scenario",IFERROR(C311/C311*'Mortgage Calculator'!$G$25," "),$E$6="Recommendation",IFERROR(C311/C311*'Mortgage Calculator'!$U$28,""))</f>
        <v/>
      </c>
      <c r="F311" s="82" t="str">
        <f>IFERROR(C311/C311*H310*'Mortgage Calculator'!$C$13/12,"")</f>
        <v/>
      </c>
      <c r="G311" s="82" t="str">
        <f t="shared" si="17"/>
        <v/>
      </c>
      <c r="H311" s="100" t="str">
        <f t="shared" si="18"/>
        <v/>
      </c>
      <c r="I311" s="74"/>
      <c r="J311" s="88" t="str">
        <f t="shared" si="19"/>
        <v/>
      </c>
      <c r="K311" s="73"/>
    </row>
    <row r="312" spans="2:11" x14ac:dyDescent="0.3">
      <c r="B312" s="73"/>
      <c r="C312" s="79" t="str">
        <f t="shared" si="16"/>
        <v/>
      </c>
      <c r="D312" s="80"/>
      <c r="E312" s="81" t="str" cm="1">
        <f t="array" ref="E312">_xlfn.IFS($E$6="First-Line Scenario",IFERROR(C312/C312*'Mortgage Calculator'!$G$25," "),$E$6="Recommendation",IFERROR(C312/C312*'Mortgage Calculator'!$U$28,""))</f>
        <v/>
      </c>
      <c r="F312" s="82" t="str">
        <f>IFERROR(C312/C312*H311*'Mortgage Calculator'!$C$13/12,"")</f>
        <v/>
      </c>
      <c r="G312" s="82" t="str">
        <f t="shared" si="17"/>
        <v/>
      </c>
      <c r="H312" s="100" t="str">
        <f t="shared" si="18"/>
        <v/>
      </c>
      <c r="I312" s="74"/>
      <c r="J312" s="88" t="str">
        <f t="shared" si="19"/>
        <v/>
      </c>
      <c r="K312" s="73"/>
    </row>
    <row r="313" spans="2:11" x14ac:dyDescent="0.3">
      <c r="B313" s="73"/>
      <c r="C313" s="79" t="str">
        <f t="shared" si="16"/>
        <v/>
      </c>
      <c r="D313" s="80"/>
      <c r="E313" s="81" t="str" cm="1">
        <f t="array" ref="E313">_xlfn.IFS($E$6="First-Line Scenario",IFERROR(C313/C313*'Mortgage Calculator'!$G$25," "),$E$6="Recommendation",IFERROR(C313/C313*'Mortgage Calculator'!$U$28,""))</f>
        <v/>
      </c>
      <c r="F313" s="82" t="str">
        <f>IFERROR(C313/C313*H312*'Mortgage Calculator'!$C$13/12,"")</f>
        <v/>
      </c>
      <c r="G313" s="82" t="str">
        <f t="shared" si="17"/>
        <v/>
      </c>
      <c r="H313" s="100" t="str">
        <f t="shared" si="18"/>
        <v/>
      </c>
      <c r="I313" s="74"/>
      <c r="J313" s="88" t="str">
        <f t="shared" si="19"/>
        <v/>
      </c>
      <c r="K313" s="73"/>
    </row>
    <row r="314" spans="2:11" x14ac:dyDescent="0.3">
      <c r="B314" s="73"/>
      <c r="C314" s="79" t="str">
        <f t="shared" si="16"/>
        <v/>
      </c>
      <c r="D314" s="80"/>
      <c r="E314" s="81" t="str" cm="1">
        <f t="array" ref="E314">_xlfn.IFS($E$6="First-Line Scenario",IFERROR(C314/C314*'Mortgage Calculator'!$G$25," "),$E$6="Recommendation",IFERROR(C314/C314*'Mortgage Calculator'!$U$28,""))</f>
        <v/>
      </c>
      <c r="F314" s="82" t="str">
        <f>IFERROR(C314/C314*H313*'Mortgage Calculator'!$C$13/12,"")</f>
        <v/>
      </c>
      <c r="G314" s="82" t="str">
        <f t="shared" si="17"/>
        <v/>
      </c>
      <c r="H314" s="100" t="str">
        <f t="shared" si="18"/>
        <v/>
      </c>
      <c r="I314" s="74"/>
      <c r="J314" s="88" t="str">
        <f t="shared" si="19"/>
        <v/>
      </c>
      <c r="K314" s="73"/>
    </row>
    <row r="315" spans="2:11" x14ac:dyDescent="0.3">
      <c r="B315" s="73"/>
      <c r="C315" s="79" t="str">
        <f t="shared" si="16"/>
        <v/>
      </c>
      <c r="D315" s="80"/>
      <c r="E315" s="81" t="str" cm="1">
        <f t="array" ref="E315">_xlfn.IFS($E$6="First-Line Scenario",IFERROR(C315/C315*'Mortgage Calculator'!$G$25," "),$E$6="Recommendation",IFERROR(C315/C315*'Mortgage Calculator'!$U$28,""))</f>
        <v/>
      </c>
      <c r="F315" s="82" t="str">
        <f>IFERROR(C315/C315*H314*'Mortgage Calculator'!$C$13/12,"")</f>
        <v/>
      </c>
      <c r="G315" s="82" t="str">
        <f t="shared" si="17"/>
        <v/>
      </c>
      <c r="H315" s="100" t="str">
        <f t="shared" si="18"/>
        <v/>
      </c>
      <c r="I315" s="74"/>
      <c r="J315" s="88" t="str">
        <f t="shared" si="19"/>
        <v/>
      </c>
      <c r="K315" s="73"/>
    </row>
    <row r="316" spans="2:11" x14ac:dyDescent="0.3">
      <c r="B316" s="73"/>
      <c r="C316" s="79" t="str">
        <f t="shared" si="16"/>
        <v/>
      </c>
      <c r="D316" s="80"/>
      <c r="E316" s="81" t="str" cm="1">
        <f t="array" ref="E316">_xlfn.IFS($E$6="First-Line Scenario",IFERROR(C316/C316*'Mortgage Calculator'!$G$25," "),$E$6="Recommendation",IFERROR(C316/C316*'Mortgage Calculator'!$U$28,""))</f>
        <v/>
      </c>
      <c r="F316" s="82" t="str">
        <f>IFERROR(C316/C316*H315*'Mortgage Calculator'!$C$13/12,"")</f>
        <v/>
      </c>
      <c r="G316" s="82" t="str">
        <f t="shared" si="17"/>
        <v/>
      </c>
      <c r="H316" s="100" t="str">
        <f t="shared" si="18"/>
        <v/>
      </c>
      <c r="I316" s="74"/>
      <c r="J316" s="88" t="str">
        <f t="shared" si="19"/>
        <v/>
      </c>
      <c r="K316" s="73"/>
    </row>
    <row r="317" spans="2:11" x14ac:dyDescent="0.3">
      <c r="B317" s="73"/>
      <c r="C317" s="79" t="str">
        <f t="shared" si="16"/>
        <v/>
      </c>
      <c r="D317" s="80"/>
      <c r="E317" s="81" t="str" cm="1">
        <f t="array" ref="E317">_xlfn.IFS($E$6="First-Line Scenario",IFERROR(C317/C317*'Mortgage Calculator'!$G$25," "),$E$6="Recommendation",IFERROR(C317/C317*'Mortgage Calculator'!$U$28,""))</f>
        <v/>
      </c>
      <c r="F317" s="82" t="str">
        <f>IFERROR(C317/C317*H316*'Mortgage Calculator'!$C$13/12,"")</f>
        <v/>
      </c>
      <c r="G317" s="82" t="str">
        <f t="shared" si="17"/>
        <v/>
      </c>
      <c r="H317" s="100" t="str">
        <f t="shared" si="18"/>
        <v/>
      </c>
      <c r="I317" s="74"/>
      <c r="J317" s="88" t="str">
        <f t="shared" si="19"/>
        <v/>
      </c>
      <c r="K317" s="73"/>
    </row>
    <row r="318" spans="2:11" x14ac:dyDescent="0.3">
      <c r="B318" s="73"/>
      <c r="C318" s="79" t="str">
        <f t="shared" si="16"/>
        <v/>
      </c>
      <c r="D318" s="80"/>
      <c r="E318" s="81" t="str" cm="1">
        <f t="array" ref="E318">_xlfn.IFS($E$6="First-Line Scenario",IFERROR(C318/C318*'Mortgage Calculator'!$G$25," "),$E$6="Recommendation",IFERROR(C318/C318*'Mortgage Calculator'!$U$28,""))</f>
        <v/>
      </c>
      <c r="F318" s="82" t="str">
        <f>IFERROR(C318/C318*H317*'Mortgage Calculator'!$C$13/12,"")</f>
        <v/>
      </c>
      <c r="G318" s="82" t="str">
        <f t="shared" si="17"/>
        <v/>
      </c>
      <c r="H318" s="100" t="str">
        <f t="shared" si="18"/>
        <v/>
      </c>
      <c r="I318" s="74"/>
      <c r="J318" s="88" t="str">
        <f t="shared" si="19"/>
        <v/>
      </c>
      <c r="K318" s="73"/>
    </row>
    <row r="319" spans="2:11" x14ac:dyDescent="0.3">
      <c r="B319" s="73"/>
      <c r="C319" s="79" t="str">
        <f t="shared" si="16"/>
        <v/>
      </c>
      <c r="D319" s="80"/>
      <c r="E319" s="81" t="str" cm="1">
        <f t="array" ref="E319">_xlfn.IFS($E$6="First-Line Scenario",IFERROR(C319/C319*'Mortgage Calculator'!$G$25," "),$E$6="Recommendation",IFERROR(C319/C319*'Mortgage Calculator'!$U$28,""))</f>
        <v/>
      </c>
      <c r="F319" s="82" t="str">
        <f>IFERROR(C319/C319*H318*'Mortgage Calculator'!$C$13/12,"")</f>
        <v/>
      </c>
      <c r="G319" s="82" t="str">
        <f t="shared" si="17"/>
        <v/>
      </c>
      <c r="H319" s="100" t="str">
        <f t="shared" si="18"/>
        <v/>
      </c>
      <c r="I319" s="74"/>
      <c r="J319" s="88" t="str">
        <f t="shared" si="19"/>
        <v/>
      </c>
      <c r="K319" s="73"/>
    </row>
    <row r="320" spans="2:11" x14ac:dyDescent="0.3">
      <c r="B320" s="73"/>
      <c r="C320" s="79" t="str">
        <f t="shared" si="16"/>
        <v/>
      </c>
      <c r="D320" s="80"/>
      <c r="E320" s="81" t="str" cm="1">
        <f t="array" ref="E320">_xlfn.IFS($E$6="First-Line Scenario",IFERROR(C320/C320*'Mortgage Calculator'!$G$25," "),$E$6="Recommendation",IFERROR(C320/C320*'Mortgage Calculator'!$U$28,""))</f>
        <v/>
      </c>
      <c r="F320" s="82" t="str">
        <f>IFERROR(C320/C320*H319*'Mortgage Calculator'!$C$13/12,"")</f>
        <v/>
      </c>
      <c r="G320" s="82" t="str">
        <f t="shared" si="17"/>
        <v/>
      </c>
      <c r="H320" s="100" t="str">
        <f t="shared" si="18"/>
        <v/>
      </c>
      <c r="I320" s="74"/>
      <c r="J320" s="88" t="str">
        <f t="shared" si="19"/>
        <v/>
      </c>
      <c r="K320" s="73"/>
    </row>
    <row r="321" spans="2:11" x14ac:dyDescent="0.3">
      <c r="B321" s="73"/>
      <c r="C321" s="79" t="str">
        <f t="shared" si="16"/>
        <v/>
      </c>
      <c r="D321" s="80"/>
      <c r="E321" s="81" t="str" cm="1">
        <f t="array" ref="E321">_xlfn.IFS($E$6="First-Line Scenario",IFERROR(C321/C321*'Mortgage Calculator'!$G$25," "),$E$6="Recommendation",IFERROR(C321/C321*'Mortgage Calculator'!$U$28,""))</f>
        <v/>
      </c>
      <c r="F321" s="82" t="str">
        <f>IFERROR(C321/C321*H320*'Mortgage Calculator'!$C$13/12,"")</f>
        <v/>
      </c>
      <c r="G321" s="82" t="str">
        <f t="shared" si="17"/>
        <v/>
      </c>
      <c r="H321" s="100" t="str">
        <f t="shared" si="18"/>
        <v/>
      </c>
      <c r="I321" s="74"/>
      <c r="J321" s="88" t="str">
        <f t="shared" si="19"/>
        <v/>
      </c>
      <c r="K321" s="73"/>
    </row>
    <row r="322" spans="2:11" x14ac:dyDescent="0.3">
      <c r="B322" s="73"/>
      <c r="C322" s="79" t="str">
        <f t="shared" si="16"/>
        <v/>
      </c>
      <c r="D322" s="80"/>
      <c r="E322" s="81" t="str" cm="1">
        <f t="array" ref="E322">_xlfn.IFS($E$6="First-Line Scenario",IFERROR(C322/C322*'Mortgage Calculator'!$G$25," "),$E$6="Recommendation",IFERROR(C322/C322*'Mortgage Calculator'!$U$28,""))</f>
        <v/>
      </c>
      <c r="F322" s="82" t="str">
        <f>IFERROR(C322/C322*H321*'Mortgage Calculator'!$C$13/12,"")</f>
        <v/>
      </c>
      <c r="G322" s="82" t="str">
        <f t="shared" si="17"/>
        <v/>
      </c>
      <c r="H322" s="100" t="str">
        <f t="shared" si="18"/>
        <v/>
      </c>
      <c r="I322" s="74"/>
      <c r="J322" s="88" t="str">
        <f t="shared" si="19"/>
        <v/>
      </c>
      <c r="K322" s="73"/>
    </row>
    <row r="323" spans="2:11" x14ac:dyDescent="0.3">
      <c r="B323" s="73"/>
      <c r="C323" s="79" t="str">
        <f t="shared" si="16"/>
        <v/>
      </c>
      <c r="D323" s="80"/>
      <c r="E323" s="81" t="str" cm="1">
        <f t="array" ref="E323">_xlfn.IFS($E$6="First-Line Scenario",IFERROR(C323/C323*'Mortgage Calculator'!$G$25," "),$E$6="Recommendation",IFERROR(C323/C323*'Mortgage Calculator'!$U$28,""))</f>
        <v/>
      </c>
      <c r="F323" s="82" t="str">
        <f>IFERROR(C323/C323*H322*'Mortgage Calculator'!$C$13/12,"")</f>
        <v/>
      </c>
      <c r="G323" s="82" t="str">
        <f t="shared" si="17"/>
        <v/>
      </c>
      <c r="H323" s="100" t="str">
        <f t="shared" si="18"/>
        <v/>
      </c>
      <c r="I323" s="74"/>
      <c r="J323" s="88" t="str">
        <f t="shared" si="19"/>
        <v/>
      </c>
      <c r="K323" s="73"/>
    </row>
    <row r="324" spans="2:11" x14ac:dyDescent="0.3">
      <c r="B324" s="73"/>
      <c r="C324" s="79" t="str">
        <f t="shared" si="16"/>
        <v/>
      </c>
      <c r="D324" s="80"/>
      <c r="E324" s="81" t="str" cm="1">
        <f t="array" ref="E324">_xlfn.IFS($E$6="First-Line Scenario",IFERROR(C324/C324*'Mortgage Calculator'!$G$25," "),$E$6="Recommendation",IFERROR(C324/C324*'Mortgage Calculator'!$U$28,""))</f>
        <v/>
      </c>
      <c r="F324" s="82" t="str">
        <f>IFERROR(C324/C324*H323*'Mortgage Calculator'!$C$13/12,"")</f>
        <v/>
      </c>
      <c r="G324" s="82" t="str">
        <f t="shared" si="17"/>
        <v/>
      </c>
      <c r="H324" s="100" t="str">
        <f t="shared" si="18"/>
        <v/>
      </c>
      <c r="I324" s="74"/>
      <c r="J324" s="88" t="str">
        <f t="shared" si="19"/>
        <v/>
      </c>
      <c r="K324" s="73"/>
    </row>
    <row r="325" spans="2:11" x14ac:dyDescent="0.3">
      <c r="B325" s="73"/>
      <c r="C325" s="79" t="str">
        <f t="shared" si="16"/>
        <v/>
      </c>
      <c r="D325" s="80"/>
      <c r="E325" s="81" t="str" cm="1">
        <f t="array" ref="E325">_xlfn.IFS($E$6="First-Line Scenario",IFERROR(C325/C325*'Mortgage Calculator'!$G$25," "),$E$6="Recommendation",IFERROR(C325/C325*'Mortgage Calculator'!$U$28,""))</f>
        <v/>
      </c>
      <c r="F325" s="82" t="str">
        <f>IFERROR(C325/C325*H324*'Mortgage Calculator'!$C$13/12,"")</f>
        <v/>
      </c>
      <c r="G325" s="82" t="str">
        <f t="shared" si="17"/>
        <v/>
      </c>
      <c r="H325" s="100" t="str">
        <f t="shared" si="18"/>
        <v/>
      </c>
      <c r="I325" s="74"/>
      <c r="J325" s="88" t="str">
        <f t="shared" si="19"/>
        <v/>
      </c>
      <c r="K325" s="73"/>
    </row>
    <row r="326" spans="2:11" x14ac:dyDescent="0.3">
      <c r="B326" s="73"/>
      <c r="C326" s="79" t="str">
        <f t="shared" si="16"/>
        <v/>
      </c>
      <c r="D326" s="80"/>
      <c r="E326" s="81" t="str" cm="1">
        <f t="array" ref="E326">_xlfn.IFS($E$6="First-Line Scenario",IFERROR(C326/C326*'Mortgage Calculator'!$G$25," "),$E$6="Recommendation",IFERROR(C326/C326*'Mortgage Calculator'!$U$28,""))</f>
        <v/>
      </c>
      <c r="F326" s="82" t="str">
        <f>IFERROR(C326/C326*H325*'Mortgage Calculator'!$C$13/12,"")</f>
        <v/>
      </c>
      <c r="G326" s="82" t="str">
        <f t="shared" si="17"/>
        <v/>
      </c>
      <c r="H326" s="100" t="str">
        <f t="shared" si="18"/>
        <v/>
      </c>
      <c r="I326" s="74"/>
      <c r="J326" s="88" t="str">
        <f t="shared" si="19"/>
        <v/>
      </c>
      <c r="K326" s="73"/>
    </row>
    <row r="327" spans="2:11" x14ac:dyDescent="0.3">
      <c r="B327" s="73"/>
      <c r="C327" s="79" t="str">
        <f t="shared" si="16"/>
        <v/>
      </c>
      <c r="D327" s="80"/>
      <c r="E327" s="81" t="str" cm="1">
        <f t="array" ref="E327">_xlfn.IFS($E$6="First-Line Scenario",IFERROR(C327/C327*'Mortgage Calculator'!$G$25," "),$E$6="Recommendation",IFERROR(C327/C327*'Mortgage Calculator'!$U$28,""))</f>
        <v/>
      </c>
      <c r="F327" s="82" t="str">
        <f>IFERROR(C327/C327*H326*'Mortgage Calculator'!$C$13/12,"")</f>
        <v/>
      </c>
      <c r="G327" s="82" t="str">
        <f t="shared" si="17"/>
        <v/>
      </c>
      <c r="H327" s="100" t="str">
        <f t="shared" si="18"/>
        <v/>
      </c>
      <c r="I327" s="74"/>
      <c r="J327" s="88" t="str">
        <f t="shared" si="19"/>
        <v/>
      </c>
      <c r="K327" s="73"/>
    </row>
    <row r="328" spans="2:11" x14ac:dyDescent="0.3">
      <c r="B328" s="73"/>
      <c r="C328" s="79" t="str">
        <f t="shared" si="16"/>
        <v/>
      </c>
      <c r="D328" s="80"/>
      <c r="E328" s="81" t="str" cm="1">
        <f t="array" ref="E328">_xlfn.IFS($E$6="First-Line Scenario",IFERROR(C328/C328*'Mortgage Calculator'!$G$25," "),$E$6="Recommendation",IFERROR(C328/C328*'Mortgage Calculator'!$U$28,""))</f>
        <v/>
      </c>
      <c r="F328" s="82" t="str">
        <f>IFERROR(C328/C328*H327*'Mortgage Calculator'!$C$13/12,"")</f>
        <v/>
      </c>
      <c r="G328" s="82" t="str">
        <f t="shared" si="17"/>
        <v/>
      </c>
      <c r="H328" s="100" t="str">
        <f t="shared" si="18"/>
        <v/>
      </c>
      <c r="I328" s="74"/>
      <c r="J328" s="88" t="str">
        <f t="shared" si="19"/>
        <v/>
      </c>
      <c r="K328" s="73"/>
    </row>
    <row r="329" spans="2:11" x14ac:dyDescent="0.3">
      <c r="B329" s="73"/>
      <c r="C329" s="79" t="str">
        <f t="shared" si="16"/>
        <v/>
      </c>
      <c r="D329" s="80"/>
      <c r="E329" s="81" t="str" cm="1">
        <f t="array" ref="E329">_xlfn.IFS($E$6="First-Line Scenario",IFERROR(C329/C329*'Mortgage Calculator'!$G$25," "),$E$6="Recommendation",IFERROR(C329/C329*'Mortgage Calculator'!$U$28,""))</f>
        <v/>
      </c>
      <c r="F329" s="82" t="str">
        <f>IFERROR(C329/C329*H328*'Mortgage Calculator'!$C$13/12,"")</f>
        <v/>
      </c>
      <c r="G329" s="82" t="str">
        <f t="shared" si="17"/>
        <v/>
      </c>
      <c r="H329" s="100" t="str">
        <f t="shared" si="18"/>
        <v/>
      </c>
      <c r="I329" s="74"/>
      <c r="J329" s="88" t="str">
        <f t="shared" si="19"/>
        <v/>
      </c>
      <c r="K329" s="73"/>
    </row>
    <row r="330" spans="2:11" x14ac:dyDescent="0.3">
      <c r="B330" s="73"/>
      <c r="C330" s="79" t="str">
        <f t="shared" si="16"/>
        <v/>
      </c>
      <c r="D330" s="80"/>
      <c r="E330" s="81" t="str" cm="1">
        <f t="array" ref="E330">_xlfn.IFS($E$6="First-Line Scenario",IFERROR(C330/C330*'Mortgage Calculator'!$G$25," "),$E$6="Recommendation",IFERROR(C330/C330*'Mortgage Calculator'!$U$28,""))</f>
        <v/>
      </c>
      <c r="F330" s="82" t="str">
        <f>IFERROR(C330/C330*H329*'Mortgage Calculator'!$C$13/12,"")</f>
        <v/>
      </c>
      <c r="G330" s="82" t="str">
        <f t="shared" si="17"/>
        <v/>
      </c>
      <c r="H330" s="100" t="str">
        <f t="shared" si="18"/>
        <v/>
      </c>
      <c r="I330" s="74"/>
      <c r="J330" s="88" t="str">
        <f t="shared" si="19"/>
        <v/>
      </c>
      <c r="K330" s="73"/>
    </row>
    <row r="331" spans="2:11" x14ac:dyDescent="0.3">
      <c r="B331" s="73"/>
      <c r="C331" s="79" t="str">
        <f t="shared" si="16"/>
        <v/>
      </c>
      <c r="D331" s="80"/>
      <c r="E331" s="81" t="str" cm="1">
        <f t="array" ref="E331">_xlfn.IFS($E$6="First-Line Scenario",IFERROR(C331/C331*'Mortgage Calculator'!$G$25," "),$E$6="Recommendation",IFERROR(C331/C331*'Mortgage Calculator'!$U$28,""))</f>
        <v/>
      </c>
      <c r="F331" s="82" t="str">
        <f>IFERROR(C331/C331*H330*'Mortgage Calculator'!$C$13/12,"")</f>
        <v/>
      </c>
      <c r="G331" s="82" t="str">
        <f t="shared" si="17"/>
        <v/>
      </c>
      <c r="H331" s="100" t="str">
        <f t="shared" si="18"/>
        <v/>
      </c>
      <c r="I331" s="74"/>
      <c r="J331" s="88" t="str">
        <f t="shared" si="19"/>
        <v/>
      </c>
      <c r="K331" s="73"/>
    </row>
    <row r="332" spans="2:11" x14ac:dyDescent="0.3">
      <c r="B332" s="73"/>
      <c r="C332" s="79" t="str">
        <f t="shared" si="16"/>
        <v/>
      </c>
      <c r="D332" s="80"/>
      <c r="E332" s="81" t="str" cm="1">
        <f t="array" ref="E332">_xlfn.IFS($E$6="First-Line Scenario",IFERROR(C332/C332*'Mortgage Calculator'!$G$25," "),$E$6="Recommendation",IFERROR(C332/C332*'Mortgage Calculator'!$U$28,""))</f>
        <v/>
      </c>
      <c r="F332" s="82" t="str">
        <f>IFERROR(C332/C332*H331*'Mortgage Calculator'!$C$13/12,"")</f>
        <v/>
      </c>
      <c r="G332" s="82" t="str">
        <f t="shared" si="17"/>
        <v/>
      </c>
      <c r="H332" s="100" t="str">
        <f t="shared" si="18"/>
        <v/>
      </c>
      <c r="I332" s="74"/>
      <c r="J332" s="88" t="str">
        <f t="shared" si="19"/>
        <v/>
      </c>
      <c r="K332" s="73"/>
    </row>
    <row r="333" spans="2:11" x14ac:dyDescent="0.3">
      <c r="B333" s="73"/>
      <c r="C333" s="79" t="str">
        <f t="shared" ref="C333:C396" si="20">IF(D333="","",ROW()-11)</f>
        <v/>
      </c>
      <c r="D333" s="80"/>
      <c r="E333" s="81" t="str" cm="1">
        <f t="array" ref="E333">_xlfn.IFS($E$6="First-Line Scenario",IFERROR(C333/C333*'Mortgage Calculator'!$G$25," "),$E$6="Recommendation",IFERROR(C333/C333*'Mortgage Calculator'!$U$28,""))</f>
        <v/>
      </c>
      <c r="F333" s="82" t="str">
        <f>IFERROR(C333/C333*H332*'Mortgage Calculator'!$C$13/12,"")</f>
        <v/>
      </c>
      <c r="G333" s="82" t="str">
        <f t="shared" ref="G333:G396" si="21">IFERROR(E333-F333,"")</f>
        <v/>
      </c>
      <c r="H333" s="100" t="str">
        <f t="shared" ref="H333:H396" si="22">IFERROR(H332-G333,"")</f>
        <v/>
      </c>
      <c r="I333" s="74"/>
      <c r="J333" s="88" t="str">
        <f t="shared" ref="J333:J396" si="23">IFERROR(J332+F333,"")</f>
        <v/>
      </c>
      <c r="K333" s="73"/>
    </row>
    <row r="334" spans="2:11" x14ac:dyDescent="0.3">
      <c r="B334" s="73"/>
      <c r="C334" s="79" t="str">
        <f t="shared" si="20"/>
        <v/>
      </c>
      <c r="D334" s="80"/>
      <c r="E334" s="81" t="str" cm="1">
        <f t="array" ref="E334">_xlfn.IFS($E$6="First-Line Scenario",IFERROR(C334/C334*'Mortgage Calculator'!$G$25," "),$E$6="Recommendation",IFERROR(C334/C334*'Mortgage Calculator'!$U$28,""))</f>
        <v/>
      </c>
      <c r="F334" s="82" t="str">
        <f>IFERROR(C334/C334*H333*'Mortgage Calculator'!$C$13/12,"")</f>
        <v/>
      </c>
      <c r="G334" s="82" t="str">
        <f t="shared" si="21"/>
        <v/>
      </c>
      <c r="H334" s="100" t="str">
        <f t="shared" si="22"/>
        <v/>
      </c>
      <c r="I334" s="74"/>
      <c r="J334" s="88" t="str">
        <f t="shared" si="23"/>
        <v/>
      </c>
      <c r="K334" s="73"/>
    </row>
    <row r="335" spans="2:11" x14ac:dyDescent="0.3">
      <c r="B335" s="73"/>
      <c r="C335" s="79" t="str">
        <f t="shared" si="20"/>
        <v/>
      </c>
      <c r="D335" s="80"/>
      <c r="E335" s="81" t="str" cm="1">
        <f t="array" ref="E335">_xlfn.IFS($E$6="First-Line Scenario",IFERROR(C335/C335*'Mortgage Calculator'!$G$25," "),$E$6="Recommendation",IFERROR(C335/C335*'Mortgage Calculator'!$U$28,""))</f>
        <v/>
      </c>
      <c r="F335" s="82" t="str">
        <f>IFERROR(C335/C335*H334*'Mortgage Calculator'!$C$13/12,"")</f>
        <v/>
      </c>
      <c r="G335" s="82" t="str">
        <f t="shared" si="21"/>
        <v/>
      </c>
      <c r="H335" s="100" t="str">
        <f t="shared" si="22"/>
        <v/>
      </c>
      <c r="I335" s="74"/>
      <c r="J335" s="88" t="str">
        <f t="shared" si="23"/>
        <v/>
      </c>
      <c r="K335" s="73"/>
    </row>
    <row r="336" spans="2:11" x14ac:dyDescent="0.3">
      <c r="B336" s="73"/>
      <c r="C336" s="79" t="str">
        <f t="shared" si="20"/>
        <v/>
      </c>
      <c r="D336" s="80"/>
      <c r="E336" s="81" t="str" cm="1">
        <f t="array" ref="E336">_xlfn.IFS($E$6="First-Line Scenario",IFERROR(C336/C336*'Mortgage Calculator'!$G$25," "),$E$6="Recommendation",IFERROR(C336/C336*'Mortgage Calculator'!$U$28,""))</f>
        <v/>
      </c>
      <c r="F336" s="82" t="str">
        <f>IFERROR(C336/C336*H335*'Mortgage Calculator'!$C$13/12,"")</f>
        <v/>
      </c>
      <c r="G336" s="82" t="str">
        <f t="shared" si="21"/>
        <v/>
      </c>
      <c r="H336" s="100" t="str">
        <f t="shared" si="22"/>
        <v/>
      </c>
      <c r="I336" s="74"/>
      <c r="J336" s="88" t="str">
        <f t="shared" si="23"/>
        <v/>
      </c>
      <c r="K336" s="73"/>
    </row>
    <row r="337" spans="2:11" x14ac:dyDescent="0.3">
      <c r="B337" s="73"/>
      <c r="C337" s="79" t="str">
        <f t="shared" si="20"/>
        <v/>
      </c>
      <c r="D337" s="80"/>
      <c r="E337" s="81" t="str" cm="1">
        <f t="array" ref="E337">_xlfn.IFS($E$6="First-Line Scenario",IFERROR(C337/C337*'Mortgage Calculator'!$G$25," "),$E$6="Recommendation",IFERROR(C337/C337*'Mortgage Calculator'!$U$28,""))</f>
        <v/>
      </c>
      <c r="F337" s="82" t="str">
        <f>IFERROR(C337/C337*H336*'Mortgage Calculator'!$C$13/12,"")</f>
        <v/>
      </c>
      <c r="G337" s="82" t="str">
        <f t="shared" si="21"/>
        <v/>
      </c>
      <c r="H337" s="100" t="str">
        <f t="shared" si="22"/>
        <v/>
      </c>
      <c r="I337" s="74"/>
      <c r="J337" s="88" t="str">
        <f t="shared" si="23"/>
        <v/>
      </c>
      <c r="K337" s="73"/>
    </row>
    <row r="338" spans="2:11" x14ac:dyDescent="0.3">
      <c r="B338" s="73"/>
      <c r="C338" s="79" t="str">
        <f t="shared" si="20"/>
        <v/>
      </c>
      <c r="D338" s="80"/>
      <c r="E338" s="81" t="str" cm="1">
        <f t="array" ref="E338">_xlfn.IFS($E$6="First-Line Scenario",IFERROR(C338/C338*'Mortgage Calculator'!$G$25," "),$E$6="Recommendation",IFERROR(C338/C338*'Mortgage Calculator'!$U$28,""))</f>
        <v/>
      </c>
      <c r="F338" s="82" t="str">
        <f>IFERROR(C338/C338*H337*'Mortgage Calculator'!$C$13/12,"")</f>
        <v/>
      </c>
      <c r="G338" s="82" t="str">
        <f t="shared" si="21"/>
        <v/>
      </c>
      <c r="H338" s="100" t="str">
        <f t="shared" si="22"/>
        <v/>
      </c>
      <c r="I338" s="74"/>
      <c r="J338" s="88" t="str">
        <f t="shared" si="23"/>
        <v/>
      </c>
      <c r="K338" s="73"/>
    </row>
    <row r="339" spans="2:11" x14ac:dyDescent="0.3">
      <c r="B339" s="73"/>
      <c r="C339" s="79" t="str">
        <f t="shared" si="20"/>
        <v/>
      </c>
      <c r="D339" s="80"/>
      <c r="E339" s="81" t="str" cm="1">
        <f t="array" ref="E339">_xlfn.IFS($E$6="First-Line Scenario",IFERROR(C339/C339*'Mortgage Calculator'!$G$25," "),$E$6="Recommendation",IFERROR(C339/C339*'Mortgage Calculator'!$U$28,""))</f>
        <v/>
      </c>
      <c r="F339" s="82" t="str">
        <f>IFERROR(C339/C339*H338*'Mortgage Calculator'!$C$13/12,"")</f>
        <v/>
      </c>
      <c r="G339" s="82" t="str">
        <f t="shared" si="21"/>
        <v/>
      </c>
      <c r="H339" s="100" t="str">
        <f t="shared" si="22"/>
        <v/>
      </c>
      <c r="I339" s="74"/>
      <c r="J339" s="88" t="str">
        <f t="shared" si="23"/>
        <v/>
      </c>
      <c r="K339" s="73"/>
    </row>
    <row r="340" spans="2:11" x14ac:dyDescent="0.3">
      <c r="B340" s="73"/>
      <c r="C340" s="79" t="str">
        <f t="shared" si="20"/>
        <v/>
      </c>
      <c r="D340" s="80"/>
      <c r="E340" s="81" t="str" cm="1">
        <f t="array" ref="E340">_xlfn.IFS($E$6="First-Line Scenario",IFERROR(C340/C340*'Mortgage Calculator'!$G$25," "),$E$6="Recommendation",IFERROR(C340/C340*'Mortgage Calculator'!$U$28,""))</f>
        <v/>
      </c>
      <c r="F340" s="82" t="str">
        <f>IFERROR(C340/C340*H339*'Mortgage Calculator'!$C$13/12,"")</f>
        <v/>
      </c>
      <c r="G340" s="82" t="str">
        <f t="shared" si="21"/>
        <v/>
      </c>
      <c r="H340" s="100" t="str">
        <f t="shared" si="22"/>
        <v/>
      </c>
      <c r="I340" s="74"/>
      <c r="J340" s="88" t="str">
        <f t="shared" si="23"/>
        <v/>
      </c>
      <c r="K340" s="73"/>
    </row>
    <row r="341" spans="2:11" x14ac:dyDescent="0.3">
      <c r="B341" s="73"/>
      <c r="C341" s="79" t="str">
        <f t="shared" si="20"/>
        <v/>
      </c>
      <c r="D341" s="80"/>
      <c r="E341" s="81" t="str" cm="1">
        <f t="array" ref="E341">_xlfn.IFS($E$6="First-Line Scenario",IFERROR(C341/C341*'Mortgage Calculator'!$G$25," "),$E$6="Recommendation",IFERROR(C341/C341*'Mortgage Calculator'!$U$28,""))</f>
        <v/>
      </c>
      <c r="F341" s="82" t="str">
        <f>IFERROR(C341/C341*H340*'Mortgage Calculator'!$C$13/12,"")</f>
        <v/>
      </c>
      <c r="G341" s="82" t="str">
        <f t="shared" si="21"/>
        <v/>
      </c>
      <c r="H341" s="100" t="str">
        <f t="shared" si="22"/>
        <v/>
      </c>
      <c r="I341" s="74"/>
      <c r="J341" s="88" t="str">
        <f t="shared" si="23"/>
        <v/>
      </c>
      <c r="K341" s="73"/>
    </row>
    <row r="342" spans="2:11" x14ac:dyDescent="0.3">
      <c r="B342" s="73"/>
      <c r="C342" s="79" t="str">
        <f t="shared" si="20"/>
        <v/>
      </c>
      <c r="D342" s="80"/>
      <c r="E342" s="81" t="str" cm="1">
        <f t="array" ref="E342">_xlfn.IFS($E$6="First-Line Scenario",IFERROR(C342/C342*'Mortgage Calculator'!$G$25," "),$E$6="Recommendation",IFERROR(C342/C342*'Mortgage Calculator'!$U$28,""))</f>
        <v/>
      </c>
      <c r="F342" s="82" t="str">
        <f>IFERROR(C342/C342*H341*'Mortgage Calculator'!$C$13/12,"")</f>
        <v/>
      </c>
      <c r="G342" s="82" t="str">
        <f t="shared" si="21"/>
        <v/>
      </c>
      <c r="H342" s="100" t="str">
        <f t="shared" si="22"/>
        <v/>
      </c>
      <c r="I342" s="74"/>
      <c r="J342" s="88" t="str">
        <f t="shared" si="23"/>
        <v/>
      </c>
      <c r="K342" s="73"/>
    </row>
    <row r="343" spans="2:11" x14ac:dyDescent="0.3">
      <c r="B343" s="73"/>
      <c r="C343" s="79" t="str">
        <f t="shared" si="20"/>
        <v/>
      </c>
      <c r="D343" s="80"/>
      <c r="E343" s="81" t="str" cm="1">
        <f t="array" ref="E343">_xlfn.IFS($E$6="First-Line Scenario",IFERROR(C343/C343*'Mortgage Calculator'!$G$25," "),$E$6="Recommendation",IFERROR(C343/C343*'Mortgage Calculator'!$U$28,""))</f>
        <v/>
      </c>
      <c r="F343" s="82" t="str">
        <f>IFERROR(C343/C343*H342*'Mortgage Calculator'!$C$13/12,"")</f>
        <v/>
      </c>
      <c r="G343" s="82" t="str">
        <f t="shared" si="21"/>
        <v/>
      </c>
      <c r="H343" s="100" t="str">
        <f t="shared" si="22"/>
        <v/>
      </c>
      <c r="I343" s="74"/>
      <c r="J343" s="88" t="str">
        <f t="shared" si="23"/>
        <v/>
      </c>
      <c r="K343" s="73"/>
    </row>
    <row r="344" spans="2:11" x14ac:dyDescent="0.3">
      <c r="B344" s="73"/>
      <c r="C344" s="79" t="str">
        <f t="shared" si="20"/>
        <v/>
      </c>
      <c r="D344" s="80"/>
      <c r="E344" s="81" t="str" cm="1">
        <f t="array" ref="E344">_xlfn.IFS($E$6="First-Line Scenario",IFERROR(C344/C344*'Mortgage Calculator'!$G$25," "),$E$6="Recommendation",IFERROR(C344/C344*'Mortgage Calculator'!$U$28,""))</f>
        <v/>
      </c>
      <c r="F344" s="82" t="str">
        <f>IFERROR(C344/C344*H343*'Mortgage Calculator'!$C$13/12,"")</f>
        <v/>
      </c>
      <c r="G344" s="82" t="str">
        <f t="shared" si="21"/>
        <v/>
      </c>
      <c r="H344" s="100" t="str">
        <f t="shared" si="22"/>
        <v/>
      </c>
      <c r="I344" s="74"/>
      <c r="J344" s="88" t="str">
        <f t="shared" si="23"/>
        <v/>
      </c>
      <c r="K344" s="73"/>
    </row>
    <row r="345" spans="2:11" x14ac:dyDescent="0.3">
      <c r="B345" s="73"/>
      <c r="C345" s="79" t="str">
        <f t="shared" si="20"/>
        <v/>
      </c>
      <c r="D345" s="80"/>
      <c r="E345" s="81" t="str" cm="1">
        <f t="array" ref="E345">_xlfn.IFS($E$6="First-Line Scenario",IFERROR(C345/C345*'Mortgage Calculator'!$G$25," "),$E$6="Recommendation",IFERROR(C345/C345*'Mortgage Calculator'!$U$28,""))</f>
        <v/>
      </c>
      <c r="F345" s="82" t="str">
        <f>IFERROR(C345/C345*H344*'Mortgage Calculator'!$C$13/12,"")</f>
        <v/>
      </c>
      <c r="G345" s="82" t="str">
        <f t="shared" si="21"/>
        <v/>
      </c>
      <c r="H345" s="100" t="str">
        <f t="shared" si="22"/>
        <v/>
      </c>
      <c r="I345" s="74"/>
      <c r="J345" s="88" t="str">
        <f t="shared" si="23"/>
        <v/>
      </c>
      <c r="K345" s="73"/>
    </row>
    <row r="346" spans="2:11" x14ac:dyDescent="0.3">
      <c r="B346" s="73"/>
      <c r="C346" s="79" t="str">
        <f t="shared" si="20"/>
        <v/>
      </c>
      <c r="D346" s="80"/>
      <c r="E346" s="81" t="str" cm="1">
        <f t="array" ref="E346">_xlfn.IFS($E$6="First-Line Scenario",IFERROR(C346/C346*'Mortgage Calculator'!$G$25," "),$E$6="Recommendation",IFERROR(C346/C346*'Mortgage Calculator'!$U$28,""))</f>
        <v/>
      </c>
      <c r="F346" s="82" t="str">
        <f>IFERROR(C346/C346*H345*'Mortgage Calculator'!$C$13/12,"")</f>
        <v/>
      </c>
      <c r="G346" s="82" t="str">
        <f t="shared" si="21"/>
        <v/>
      </c>
      <c r="H346" s="100" t="str">
        <f t="shared" si="22"/>
        <v/>
      </c>
      <c r="I346" s="74"/>
      <c r="J346" s="88" t="str">
        <f t="shared" si="23"/>
        <v/>
      </c>
      <c r="K346" s="73"/>
    </row>
    <row r="347" spans="2:11" x14ac:dyDescent="0.3">
      <c r="B347" s="73"/>
      <c r="C347" s="79" t="str">
        <f t="shared" si="20"/>
        <v/>
      </c>
      <c r="D347" s="80"/>
      <c r="E347" s="81" t="str" cm="1">
        <f t="array" ref="E347">_xlfn.IFS($E$6="First-Line Scenario",IFERROR(C347/C347*'Mortgage Calculator'!$G$25," "),$E$6="Recommendation",IFERROR(C347/C347*'Mortgage Calculator'!$U$28,""))</f>
        <v/>
      </c>
      <c r="F347" s="82" t="str">
        <f>IFERROR(C347/C347*H346*'Mortgage Calculator'!$C$13/12,"")</f>
        <v/>
      </c>
      <c r="G347" s="82" t="str">
        <f t="shared" si="21"/>
        <v/>
      </c>
      <c r="H347" s="100" t="str">
        <f t="shared" si="22"/>
        <v/>
      </c>
      <c r="I347" s="74"/>
      <c r="J347" s="88" t="str">
        <f t="shared" si="23"/>
        <v/>
      </c>
      <c r="K347" s="73"/>
    </row>
    <row r="348" spans="2:11" x14ac:dyDescent="0.3">
      <c r="B348" s="73"/>
      <c r="C348" s="79" t="str">
        <f t="shared" si="20"/>
        <v/>
      </c>
      <c r="D348" s="80"/>
      <c r="E348" s="81" t="str" cm="1">
        <f t="array" ref="E348">_xlfn.IFS($E$6="First-Line Scenario",IFERROR(C348/C348*'Mortgage Calculator'!$G$25," "),$E$6="Recommendation",IFERROR(C348/C348*'Mortgage Calculator'!$U$28,""))</f>
        <v/>
      </c>
      <c r="F348" s="82" t="str">
        <f>IFERROR(C348/C348*H347*'Mortgage Calculator'!$C$13/12,"")</f>
        <v/>
      </c>
      <c r="G348" s="82" t="str">
        <f t="shared" si="21"/>
        <v/>
      </c>
      <c r="H348" s="100" t="str">
        <f t="shared" si="22"/>
        <v/>
      </c>
      <c r="I348" s="74"/>
      <c r="J348" s="88" t="str">
        <f t="shared" si="23"/>
        <v/>
      </c>
      <c r="K348" s="73"/>
    </row>
    <row r="349" spans="2:11" x14ac:dyDescent="0.3">
      <c r="B349" s="73"/>
      <c r="C349" s="79" t="str">
        <f t="shared" si="20"/>
        <v/>
      </c>
      <c r="D349" s="80"/>
      <c r="E349" s="81" t="str" cm="1">
        <f t="array" ref="E349">_xlfn.IFS($E$6="First-Line Scenario",IFERROR(C349/C349*'Mortgage Calculator'!$G$25," "),$E$6="Recommendation",IFERROR(C349/C349*'Mortgage Calculator'!$U$28,""))</f>
        <v/>
      </c>
      <c r="F349" s="82" t="str">
        <f>IFERROR(C349/C349*H348*'Mortgage Calculator'!$C$13/12,"")</f>
        <v/>
      </c>
      <c r="G349" s="82" t="str">
        <f t="shared" si="21"/>
        <v/>
      </c>
      <c r="H349" s="100" t="str">
        <f t="shared" si="22"/>
        <v/>
      </c>
      <c r="I349" s="74"/>
      <c r="J349" s="88" t="str">
        <f t="shared" si="23"/>
        <v/>
      </c>
      <c r="K349" s="73"/>
    </row>
    <row r="350" spans="2:11" x14ac:dyDescent="0.3">
      <c r="B350" s="73"/>
      <c r="C350" s="79" t="str">
        <f t="shared" si="20"/>
        <v/>
      </c>
      <c r="D350" s="80"/>
      <c r="E350" s="81" t="str" cm="1">
        <f t="array" ref="E350">_xlfn.IFS($E$6="First-Line Scenario",IFERROR(C350/C350*'Mortgage Calculator'!$G$25," "),$E$6="Recommendation",IFERROR(C350/C350*'Mortgage Calculator'!$U$28,""))</f>
        <v/>
      </c>
      <c r="F350" s="82" t="str">
        <f>IFERROR(C350/C350*H349*'Mortgage Calculator'!$C$13/12,"")</f>
        <v/>
      </c>
      <c r="G350" s="82" t="str">
        <f t="shared" si="21"/>
        <v/>
      </c>
      <c r="H350" s="100" t="str">
        <f t="shared" si="22"/>
        <v/>
      </c>
      <c r="I350" s="74"/>
      <c r="J350" s="88" t="str">
        <f t="shared" si="23"/>
        <v/>
      </c>
      <c r="K350" s="73"/>
    </row>
    <row r="351" spans="2:11" x14ac:dyDescent="0.3">
      <c r="B351" s="73"/>
      <c r="C351" s="79" t="str">
        <f t="shared" si="20"/>
        <v/>
      </c>
      <c r="D351" s="80"/>
      <c r="E351" s="81" t="str" cm="1">
        <f t="array" ref="E351">_xlfn.IFS($E$6="First-Line Scenario",IFERROR(C351/C351*'Mortgage Calculator'!$G$25," "),$E$6="Recommendation",IFERROR(C351/C351*'Mortgage Calculator'!$U$28,""))</f>
        <v/>
      </c>
      <c r="F351" s="82" t="str">
        <f>IFERROR(C351/C351*H350*'Mortgage Calculator'!$C$13/12,"")</f>
        <v/>
      </c>
      <c r="G351" s="82" t="str">
        <f t="shared" si="21"/>
        <v/>
      </c>
      <c r="H351" s="100" t="str">
        <f t="shared" si="22"/>
        <v/>
      </c>
      <c r="I351" s="74"/>
      <c r="J351" s="88" t="str">
        <f t="shared" si="23"/>
        <v/>
      </c>
      <c r="K351" s="73"/>
    </row>
    <row r="352" spans="2:11" x14ac:dyDescent="0.3">
      <c r="B352" s="73"/>
      <c r="C352" s="79" t="str">
        <f t="shared" si="20"/>
        <v/>
      </c>
      <c r="D352" s="80"/>
      <c r="E352" s="81" t="str" cm="1">
        <f t="array" ref="E352">_xlfn.IFS($E$6="First-Line Scenario",IFERROR(C352/C352*'Mortgage Calculator'!$G$25," "),$E$6="Recommendation",IFERROR(C352/C352*'Mortgage Calculator'!$U$28,""))</f>
        <v/>
      </c>
      <c r="F352" s="82" t="str">
        <f>IFERROR(C352/C352*H351*'Mortgage Calculator'!$C$13/12,"")</f>
        <v/>
      </c>
      <c r="G352" s="82" t="str">
        <f t="shared" si="21"/>
        <v/>
      </c>
      <c r="H352" s="100" t="str">
        <f t="shared" si="22"/>
        <v/>
      </c>
      <c r="I352" s="74"/>
      <c r="J352" s="88" t="str">
        <f t="shared" si="23"/>
        <v/>
      </c>
      <c r="K352" s="73"/>
    </row>
    <row r="353" spans="2:11" x14ac:dyDescent="0.3">
      <c r="B353" s="73"/>
      <c r="C353" s="79" t="str">
        <f t="shared" si="20"/>
        <v/>
      </c>
      <c r="D353" s="80"/>
      <c r="E353" s="81" t="str" cm="1">
        <f t="array" ref="E353">_xlfn.IFS($E$6="First-Line Scenario",IFERROR(C353/C353*'Mortgage Calculator'!$G$25," "),$E$6="Recommendation",IFERROR(C353/C353*'Mortgage Calculator'!$U$28,""))</f>
        <v/>
      </c>
      <c r="F353" s="82" t="str">
        <f>IFERROR(C353/C353*H352*'Mortgage Calculator'!$C$13/12,"")</f>
        <v/>
      </c>
      <c r="G353" s="82" t="str">
        <f t="shared" si="21"/>
        <v/>
      </c>
      <c r="H353" s="100" t="str">
        <f t="shared" si="22"/>
        <v/>
      </c>
      <c r="I353" s="74"/>
      <c r="J353" s="88" t="str">
        <f t="shared" si="23"/>
        <v/>
      </c>
      <c r="K353" s="73"/>
    </row>
    <row r="354" spans="2:11" x14ac:dyDescent="0.3">
      <c r="B354" s="73"/>
      <c r="C354" s="79" t="str">
        <f t="shared" si="20"/>
        <v/>
      </c>
      <c r="D354" s="80"/>
      <c r="E354" s="81" t="str" cm="1">
        <f t="array" ref="E354">_xlfn.IFS($E$6="First-Line Scenario",IFERROR(C354/C354*'Mortgage Calculator'!$G$25," "),$E$6="Recommendation",IFERROR(C354/C354*'Mortgage Calculator'!$U$28,""))</f>
        <v/>
      </c>
      <c r="F354" s="82" t="str">
        <f>IFERROR(C354/C354*H353*'Mortgage Calculator'!$C$13/12,"")</f>
        <v/>
      </c>
      <c r="G354" s="82" t="str">
        <f t="shared" si="21"/>
        <v/>
      </c>
      <c r="H354" s="100" t="str">
        <f t="shared" si="22"/>
        <v/>
      </c>
      <c r="I354" s="74"/>
      <c r="J354" s="88" t="str">
        <f t="shared" si="23"/>
        <v/>
      </c>
      <c r="K354" s="73"/>
    </row>
    <row r="355" spans="2:11" x14ac:dyDescent="0.3">
      <c r="B355" s="73"/>
      <c r="C355" s="79" t="str">
        <f t="shared" si="20"/>
        <v/>
      </c>
      <c r="D355" s="80"/>
      <c r="E355" s="81" t="str" cm="1">
        <f t="array" ref="E355">_xlfn.IFS($E$6="First-Line Scenario",IFERROR(C355/C355*'Mortgage Calculator'!$G$25," "),$E$6="Recommendation",IFERROR(C355/C355*'Mortgage Calculator'!$U$28,""))</f>
        <v/>
      </c>
      <c r="F355" s="82" t="str">
        <f>IFERROR(C355/C355*H354*'Mortgage Calculator'!$C$13/12,"")</f>
        <v/>
      </c>
      <c r="G355" s="82" t="str">
        <f t="shared" si="21"/>
        <v/>
      </c>
      <c r="H355" s="100" t="str">
        <f t="shared" si="22"/>
        <v/>
      </c>
      <c r="I355" s="74"/>
      <c r="J355" s="88" t="str">
        <f t="shared" si="23"/>
        <v/>
      </c>
      <c r="K355" s="73"/>
    </row>
    <row r="356" spans="2:11" x14ac:dyDescent="0.3">
      <c r="B356" s="73"/>
      <c r="C356" s="79" t="str">
        <f t="shared" si="20"/>
        <v/>
      </c>
      <c r="D356" s="80"/>
      <c r="E356" s="81" t="str" cm="1">
        <f t="array" ref="E356">_xlfn.IFS($E$6="First-Line Scenario",IFERROR(C356/C356*'Mortgage Calculator'!$G$25," "),$E$6="Recommendation",IFERROR(C356/C356*'Mortgage Calculator'!$U$28,""))</f>
        <v/>
      </c>
      <c r="F356" s="82" t="str">
        <f>IFERROR(C356/C356*H355*'Mortgage Calculator'!$C$13/12,"")</f>
        <v/>
      </c>
      <c r="G356" s="82" t="str">
        <f t="shared" si="21"/>
        <v/>
      </c>
      <c r="H356" s="100" t="str">
        <f t="shared" si="22"/>
        <v/>
      </c>
      <c r="I356" s="74"/>
      <c r="J356" s="88" t="str">
        <f t="shared" si="23"/>
        <v/>
      </c>
      <c r="K356" s="73"/>
    </row>
    <row r="357" spans="2:11" x14ac:dyDescent="0.3">
      <c r="B357" s="73"/>
      <c r="C357" s="79" t="str">
        <f t="shared" si="20"/>
        <v/>
      </c>
      <c r="D357" s="80"/>
      <c r="E357" s="81" t="str" cm="1">
        <f t="array" ref="E357">_xlfn.IFS($E$6="First-Line Scenario",IFERROR(C357/C357*'Mortgage Calculator'!$G$25," "),$E$6="Recommendation",IFERROR(C357/C357*'Mortgage Calculator'!$U$28,""))</f>
        <v/>
      </c>
      <c r="F357" s="82" t="str">
        <f>IFERROR(C357/C357*H356*'Mortgage Calculator'!$C$13/12,"")</f>
        <v/>
      </c>
      <c r="G357" s="82" t="str">
        <f t="shared" si="21"/>
        <v/>
      </c>
      <c r="H357" s="100" t="str">
        <f t="shared" si="22"/>
        <v/>
      </c>
      <c r="I357" s="74"/>
      <c r="J357" s="88" t="str">
        <f t="shared" si="23"/>
        <v/>
      </c>
      <c r="K357" s="73"/>
    </row>
    <row r="358" spans="2:11" x14ac:dyDescent="0.3">
      <c r="B358" s="73"/>
      <c r="C358" s="79" t="str">
        <f t="shared" si="20"/>
        <v/>
      </c>
      <c r="D358" s="80"/>
      <c r="E358" s="81" t="str" cm="1">
        <f t="array" ref="E358">_xlfn.IFS($E$6="First-Line Scenario",IFERROR(C358/C358*'Mortgage Calculator'!$G$25," "),$E$6="Recommendation",IFERROR(C358/C358*'Mortgage Calculator'!$U$28,""))</f>
        <v/>
      </c>
      <c r="F358" s="82" t="str">
        <f>IFERROR(C358/C358*H357*'Mortgage Calculator'!$C$13/12,"")</f>
        <v/>
      </c>
      <c r="G358" s="82" t="str">
        <f t="shared" si="21"/>
        <v/>
      </c>
      <c r="H358" s="100" t="str">
        <f t="shared" si="22"/>
        <v/>
      </c>
      <c r="I358" s="74"/>
      <c r="J358" s="88" t="str">
        <f t="shared" si="23"/>
        <v/>
      </c>
      <c r="K358" s="73"/>
    </row>
    <row r="359" spans="2:11" x14ac:dyDescent="0.3">
      <c r="B359" s="73"/>
      <c r="C359" s="79" t="str">
        <f t="shared" si="20"/>
        <v/>
      </c>
      <c r="D359" s="80"/>
      <c r="E359" s="81" t="str" cm="1">
        <f t="array" ref="E359">_xlfn.IFS($E$6="First-Line Scenario",IFERROR(C359/C359*'Mortgage Calculator'!$G$25," "),$E$6="Recommendation",IFERROR(C359/C359*'Mortgage Calculator'!$U$28,""))</f>
        <v/>
      </c>
      <c r="F359" s="82" t="str">
        <f>IFERROR(C359/C359*H358*'Mortgage Calculator'!$C$13/12,"")</f>
        <v/>
      </c>
      <c r="G359" s="82" t="str">
        <f t="shared" si="21"/>
        <v/>
      </c>
      <c r="H359" s="100" t="str">
        <f t="shared" si="22"/>
        <v/>
      </c>
      <c r="I359" s="74"/>
      <c r="J359" s="88" t="str">
        <f t="shared" si="23"/>
        <v/>
      </c>
      <c r="K359" s="73"/>
    </row>
    <row r="360" spans="2:11" x14ac:dyDescent="0.3">
      <c r="B360" s="73"/>
      <c r="C360" s="79" t="str">
        <f t="shared" si="20"/>
        <v/>
      </c>
      <c r="D360" s="80"/>
      <c r="E360" s="81" t="str" cm="1">
        <f t="array" ref="E360">_xlfn.IFS($E$6="First-Line Scenario",IFERROR(C360/C360*'Mortgage Calculator'!$G$25," "),$E$6="Recommendation",IFERROR(C360/C360*'Mortgage Calculator'!$U$28,""))</f>
        <v/>
      </c>
      <c r="F360" s="82" t="str">
        <f>IFERROR(C360/C360*H359*'Mortgage Calculator'!$C$13/12,"")</f>
        <v/>
      </c>
      <c r="G360" s="82" t="str">
        <f t="shared" si="21"/>
        <v/>
      </c>
      <c r="H360" s="100" t="str">
        <f t="shared" si="22"/>
        <v/>
      </c>
      <c r="I360" s="74"/>
      <c r="J360" s="88" t="str">
        <f t="shared" si="23"/>
        <v/>
      </c>
      <c r="K360" s="73"/>
    </row>
    <row r="361" spans="2:11" x14ac:dyDescent="0.3">
      <c r="B361" s="73"/>
      <c r="C361" s="79" t="str">
        <f t="shared" si="20"/>
        <v/>
      </c>
      <c r="D361" s="80"/>
      <c r="E361" s="81" t="str" cm="1">
        <f t="array" ref="E361">_xlfn.IFS($E$6="First-Line Scenario",IFERROR(C361/C361*'Mortgage Calculator'!$G$25," "),$E$6="Recommendation",IFERROR(C361/C361*'Mortgage Calculator'!$U$28,""))</f>
        <v/>
      </c>
      <c r="F361" s="82" t="str">
        <f>IFERROR(C361/C361*H360*'Mortgage Calculator'!$C$13/12,"")</f>
        <v/>
      </c>
      <c r="G361" s="82" t="str">
        <f t="shared" si="21"/>
        <v/>
      </c>
      <c r="H361" s="100" t="str">
        <f t="shared" si="22"/>
        <v/>
      </c>
      <c r="I361" s="74"/>
      <c r="J361" s="88" t="str">
        <f t="shared" si="23"/>
        <v/>
      </c>
      <c r="K361" s="73"/>
    </row>
    <row r="362" spans="2:11" x14ac:dyDescent="0.3">
      <c r="B362" s="73"/>
      <c r="C362" s="79" t="str">
        <f t="shared" si="20"/>
        <v/>
      </c>
      <c r="D362" s="80"/>
      <c r="E362" s="81" t="str" cm="1">
        <f t="array" ref="E362">_xlfn.IFS($E$6="First-Line Scenario",IFERROR(C362/C362*'Mortgage Calculator'!$G$25," "),$E$6="Recommendation",IFERROR(C362/C362*'Mortgage Calculator'!$U$28,""))</f>
        <v/>
      </c>
      <c r="F362" s="82" t="str">
        <f>IFERROR(C362/C362*H361*'Mortgage Calculator'!$C$13/12,"")</f>
        <v/>
      </c>
      <c r="G362" s="82" t="str">
        <f t="shared" si="21"/>
        <v/>
      </c>
      <c r="H362" s="100" t="str">
        <f t="shared" si="22"/>
        <v/>
      </c>
      <c r="I362" s="74"/>
      <c r="J362" s="88" t="str">
        <f t="shared" si="23"/>
        <v/>
      </c>
      <c r="K362" s="73"/>
    </row>
    <row r="363" spans="2:11" x14ac:dyDescent="0.3">
      <c r="B363" s="73"/>
      <c r="C363" s="79" t="str">
        <f t="shared" si="20"/>
        <v/>
      </c>
      <c r="D363" s="80"/>
      <c r="E363" s="81" t="str" cm="1">
        <f t="array" ref="E363">_xlfn.IFS($E$6="First-Line Scenario",IFERROR(C363/C363*'Mortgage Calculator'!$G$25," "),$E$6="Recommendation",IFERROR(C363/C363*'Mortgage Calculator'!$U$28,""))</f>
        <v/>
      </c>
      <c r="F363" s="82" t="str">
        <f>IFERROR(C363/C363*H362*'Mortgage Calculator'!$C$13/12,"")</f>
        <v/>
      </c>
      <c r="G363" s="82" t="str">
        <f t="shared" si="21"/>
        <v/>
      </c>
      <c r="H363" s="100" t="str">
        <f t="shared" si="22"/>
        <v/>
      </c>
      <c r="I363" s="74"/>
      <c r="J363" s="88" t="str">
        <f t="shared" si="23"/>
        <v/>
      </c>
      <c r="K363" s="73"/>
    </row>
    <row r="364" spans="2:11" x14ac:dyDescent="0.3">
      <c r="B364" s="73"/>
      <c r="C364" s="79" t="str">
        <f t="shared" si="20"/>
        <v/>
      </c>
      <c r="D364" s="80"/>
      <c r="E364" s="81" t="str" cm="1">
        <f t="array" ref="E364">_xlfn.IFS($E$6="First-Line Scenario",IFERROR(C364/C364*'Mortgage Calculator'!$G$25," "),$E$6="Recommendation",IFERROR(C364/C364*'Mortgage Calculator'!$U$28,""))</f>
        <v/>
      </c>
      <c r="F364" s="82" t="str">
        <f>IFERROR(C364/C364*H363*'Mortgage Calculator'!$C$13/12,"")</f>
        <v/>
      </c>
      <c r="G364" s="82" t="str">
        <f t="shared" si="21"/>
        <v/>
      </c>
      <c r="H364" s="100" t="str">
        <f t="shared" si="22"/>
        <v/>
      </c>
      <c r="I364" s="74"/>
      <c r="J364" s="88" t="str">
        <f t="shared" si="23"/>
        <v/>
      </c>
      <c r="K364" s="73"/>
    </row>
    <row r="365" spans="2:11" x14ac:dyDescent="0.3">
      <c r="B365" s="73"/>
      <c r="C365" s="79" t="str">
        <f t="shared" si="20"/>
        <v/>
      </c>
      <c r="D365" s="80"/>
      <c r="E365" s="81" t="str" cm="1">
        <f t="array" ref="E365">_xlfn.IFS($E$6="First-Line Scenario",IFERROR(C365/C365*'Mortgage Calculator'!$G$25," "),$E$6="Recommendation",IFERROR(C365/C365*'Mortgage Calculator'!$U$28,""))</f>
        <v/>
      </c>
      <c r="F365" s="82" t="str">
        <f>IFERROR(C365/C365*H364*'Mortgage Calculator'!$C$13/12,"")</f>
        <v/>
      </c>
      <c r="G365" s="82" t="str">
        <f t="shared" si="21"/>
        <v/>
      </c>
      <c r="H365" s="100" t="str">
        <f t="shared" si="22"/>
        <v/>
      </c>
      <c r="I365" s="74"/>
      <c r="J365" s="88" t="str">
        <f t="shared" si="23"/>
        <v/>
      </c>
      <c r="K365" s="73"/>
    </row>
    <row r="366" spans="2:11" x14ac:dyDescent="0.3">
      <c r="B366" s="73"/>
      <c r="C366" s="79" t="str">
        <f t="shared" si="20"/>
        <v/>
      </c>
      <c r="D366" s="80"/>
      <c r="E366" s="81" t="str" cm="1">
        <f t="array" ref="E366">_xlfn.IFS($E$6="First-Line Scenario",IFERROR(C366/C366*'Mortgage Calculator'!$G$25," "),$E$6="Recommendation",IFERROR(C366/C366*'Mortgage Calculator'!$U$28,""))</f>
        <v/>
      </c>
      <c r="F366" s="82" t="str">
        <f>IFERROR(C366/C366*H365*'Mortgage Calculator'!$C$13/12,"")</f>
        <v/>
      </c>
      <c r="G366" s="82" t="str">
        <f t="shared" si="21"/>
        <v/>
      </c>
      <c r="H366" s="100" t="str">
        <f t="shared" si="22"/>
        <v/>
      </c>
      <c r="I366" s="74"/>
      <c r="J366" s="88" t="str">
        <f t="shared" si="23"/>
        <v/>
      </c>
      <c r="K366" s="73"/>
    </row>
    <row r="367" spans="2:11" x14ac:dyDescent="0.3">
      <c r="B367" s="73"/>
      <c r="C367" s="79" t="str">
        <f t="shared" si="20"/>
        <v/>
      </c>
      <c r="D367" s="80"/>
      <c r="E367" s="81" t="str" cm="1">
        <f t="array" ref="E367">_xlfn.IFS($E$6="First-Line Scenario",IFERROR(C367/C367*'Mortgage Calculator'!$G$25," "),$E$6="Recommendation",IFERROR(C367/C367*'Mortgage Calculator'!$U$28,""))</f>
        <v/>
      </c>
      <c r="F367" s="82" t="str">
        <f>IFERROR(C367/C367*H366*'Mortgage Calculator'!$C$13/12,"")</f>
        <v/>
      </c>
      <c r="G367" s="82" t="str">
        <f t="shared" si="21"/>
        <v/>
      </c>
      <c r="H367" s="100" t="str">
        <f t="shared" si="22"/>
        <v/>
      </c>
      <c r="I367" s="74"/>
      <c r="J367" s="88" t="str">
        <f t="shared" si="23"/>
        <v/>
      </c>
      <c r="K367" s="73"/>
    </row>
    <row r="368" spans="2:11" x14ac:dyDescent="0.3">
      <c r="B368" s="73"/>
      <c r="C368" s="79" t="str">
        <f t="shared" si="20"/>
        <v/>
      </c>
      <c r="D368" s="80"/>
      <c r="E368" s="81" t="str" cm="1">
        <f t="array" ref="E368">_xlfn.IFS($E$6="First-Line Scenario",IFERROR(C368/C368*'Mortgage Calculator'!$G$25," "),$E$6="Recommendation",IFERROR(C368/C368*'Mortgage Calculator'!$U$28,""))</f>
        <v/>
      </c>
      <c r="F368" s="82" t="str">
        <f>IFERROR(C368/C368*H367*'Mortgage Calculator'!$C$13/12,"")</f>
        <v/>
      </c>
      <c r="G368" s="82" t="str">
        <f t="shared" si="21"/>
        <v/>
      </c>
      <c r="H368" s="100" t="str">
        <f t="shared" si="22"/>
        <v/>
      </c>
      <c r="I368" s="74"/>
      <c r="J368" s="88" t="str">
        <f t="shared" si="23"/>
        <v/>
      </c>
      <c r="K368" s="73"/>
    </row>
    <row r="369" spans="2:11" x14ac:dyDescent="0.3">
      <c r="B369" s="73"/>
      <c r="C369" s="79" t="str">
        <f t="shared" si="20"/>
        <v/>
      </c>
      <c r="D369" s="80"/>
      <c r="E369" s="81" t="str" cm="1">
        <f t="array" ref="E369">_xlfn.IFS($E$6="First-Line Scenario",IFERROR(C369/C369*'Mortgage Calculator'!$G$25," "),$E$6="Recommendation",IFERROR(C369/C369*'Mortgage Calculator'!$U$28,""))</f>
        <v/>
      </c>
      <c r="F369" s="82" t="str">
        <f>IFERROR(C369/C369*H368*'Mortgage Calculator'!$C$13/12,"")</f>
        <v/>
      </c>
      <c r="G369" s="82" t="str">
        <f t="shared" si="21"/>
        <v/>
      </c>
      <c r="H369" s="100" t="str">
        <f t="shared" si="22"/>
        <v/>
      </c>
      <c r="I369" s="74"/>
      <c r="J369" s="88" t="str">
        <f t="shared" si="23"/>
        <v/>
      </c>
      <c r="K369" s="73"/>
    </row>
    <row r="370" spans="2:11" x14ac:dyDescent="0.3">
      <c r="B370" s="73"/>
      <c r="C370" s="79" t="str">
        <f t="shared" si="20"/>
        <v/>
      </c>
      <c r="D370" s="80"/>
      <c r="E370" s="81" t="str" cm="1">
        <f t="array" ref="E370">_xlfn.IFS($E$6="First-Line Scenario",IFERROR(C370/C370*'Mortgage Calculator'!$G$25," "),$E$6="Recommendation",IFERROR(C370/C370*'Mortgage Calculator'!$U$28,""))</f>
        <v/>
      </c>
      <c r="F370" s="82" t="str">
        <f>IFERROR(C370/C370*H369*'Mortgage Calculator'!$C$13/12,"")</f>
        <v/>
      </c>
      <c r="G370" s="82" t="str">
        <f t="shared" si="21"/>
        <v/>
      </c>
      <c r="H370" s="100" t="str">
        <f t="shared" si="22"/>
        <v/>
      </c>
      <c r="I370" s="74"/>
      <c r="J370" s="88" t="str">
        <f t="shared" si="23"/>
        <v/>
      </c>
      <c r="K370" s="73"/>
    </row>
    <row r="371" spans="2:11" x14ac:dyDescent="0.3">
      <c r="B371" s="73"/>
      <c r="C371" s="79" t="str">
        <f t="shared" si="20"/>
        <v/>
      </c>
      <c r="D371" s="80"/>
      <c r="E371" s="81" t="str" cm="1">
        <f t="array" ref="E371">_xlfn.IFS($E$6="First-Line Scenario",IFERROR(C371/C371*'Mortgage Calculator'!$G$25," "),$E$6="Recommendation",IFERROR(C371/C371*'Mortgage Calculator'!$U$28,""))</f>
        <v/>
      </c>
      <c r="F371" s="82" t="str">
        <f>IFERROR(C371/C371*H370*'Mortgage Calculator'!$C$13/12,"")</f>
        <v/>
      </c>
      <c r="G371" s="82" t="str">
        <f t="shared" si="21"/>
        <v/>
      </c>
      <c r="H371" s="100" t="str">
        <f t="shared" si="22"/>
        <v/>
      </c>
      <c r="I371" s="74"/>
      <c r="J371" s="88" t="str">
        <f t="shared" si="23"/>
        <v/>
      </c>
      <c r="K371" s="73"/>
    </row>
    <row r="372" spans="2:11" x14ac:dyDescent="0.3">
      <c r="B372" s="73"/>
      <c r="C372" s="79" t="str">
        <f t="shared" si="20"/>
        <v/>
      </c>
      <c r="D372" s="80"/>
      <c r="E372" s="81" t="str" cm="1">
        <f t="array" ref="E372">_xlfn.IFS($E$6="First-Line Scenario",IFERROR(C372/C372*'Mortgage Calculator'!$G$25," "),$E$6="Recommendation",IFERROR(C372/C372*'Mortgage Calculator'!$U$28,""))</f>
        <v/>
      </c>
      <c r="F372" s="82" t="str">
        <f>IFERROR(C372/C372*H371*'Mortgage Calculator'!$C$13/12,"")</f>
        <v/>
      </c>
      <c r="G372" s="82" t="str">
        <f t="shared" si="21"/>
        <v/>
      </c>
      <c r="H372" s="100" t="str">
        <f t="shared" si="22"/>
        <v/>
      </c>
      <c r="I372" s="74"/>
      <c r="J372" s="88" t="str">
        <f t="shared" si="23"/>
        <v/>
      </c>
      <c r="K372" s="73"/>
    </row>
    <row r="373" spans="2:11" x14ac:dyDescent="0.3">
      <c r="B373" s="73"/>
      <c r="C373" s="79" t="str">
        <f t="shared" si="20"/>
        <v/>
      </c>
      <c r="D373" s="80"/>
      <c r="E373" s="81" t="str" cm="1">
        <f t="array" ref="E373">_xlfn.IFS($E$6="First-Line Scenario",IFERROR(C373/C373*'Mortgage Calculator'!$G$25," "),$E$6="Recommendation",IFERROR(C373/C373*'Mortgage Calculator'!$U$28,""))</f>
        <v/>
      </c>
      <c r="F373" s="82" t="str">
        <f>IFERROR(C373/C373*H372*'Mortgage Calculator'!$C$13/12,"")</f>
        <v/>
      </c>
      <c r="G373" s="82" t="str">
        <f t="shared" si="21"/>
        <v/>
      </c>
      <c r="H373" s="100" t="str">
        <f t="shared" si="22"/>
        <v/>
      </c>
      <c r="I373" s="74"/>
      <c r="J373" s="88" t="str">
        <f t="shared" si="23"/>
        <v/>
      </c>
      <c r="K373" s="73"/>
    </row>
    <row r="374" spans="2:11" x14ac:dyDescent="0.3">
      <c r="B374" s="73"/>
      <c r="C374" s="79" t="str">
        <f t="shared" si="20"/>
        <v/>
      </c>
      <c r="D374" s="80"/>
      <c r="E374" s="81" t="str" cm="1">
        <f t="array" ref="E374">_xlfn.IFS($E$6="First-Line Scenario",IFERROR(C374/C374*'Mortgage Calculator'!$G$25," "),$E$6="Recommendation",IFERROR(C374/C374*'Mortgage Calculator'!$U$28,""))</f>
        <v/>
      </c>
      <c r="F374" s="82" t="str">
        <f>IFERROR(C374/C374*H373*'Mortgage Calculator'!$C$13/12,"")</f>
        <v/>
      </c>
      <c r="G374" s="82" t="str">
        <f t="shared" si="21"/>
        <v/>
      </c>
      <c r="H374" s="100" t="str">
        <f t="shared" si="22"/>
        <v/>
      </c>
      <c r="I374" s="74"/>
      <c r="J374" s="88" t="str">
        <f t="shared" si="23"/>
        <v/>
      </c>
      <c r="K374" s="73"/>
    </row>
    <row r="375" spans="2:11" x14ac:dyDescent="0.3">
      <c r="B375" s="73"/>
      <c r="C375" s="79" t="str">
        <f t="shared" si="20"/>
        <v/>
      </c>
      <c r="D375" s="80"/>
      <c r="E375" s="81" t="str" cm="1">
        <f t="array" ref="E375">_xlfn.IFS($E$6="First-Line Scenario",IFERROR(C375/C375*'Mortgage Calculator'!$G$25," "),$E$6="Recommendation",IFERROR(C375/C375*'Mortgage Calculator'!$U$28,""))</f>
        <v/>
      </c>
      <c r="F375" s="82" t="str">
        <f>IFERROR(C375/C375*H374*'Mortgage Calculator'!$C$13/12,"")</f>
        <v/>
      </c>
      <c r="G375" s="82" t="str">
        <f t="shared" si="21"/>
        <v/>
      </c>
      <c r="H375" s="100" t="str">
        <f t="shared" si="22"/>
        <v/>
      </c>
      <c r="I375" s="74"/>
      <c r="J375" s="88" t="str">
        <f t="shared" si="23"/>
        <v/>
      </c>
      <c r="K375" s="73"/>
    </row>
    <row r="376" spans="2:11" x14ac:dyDescent="0.3">
      <c r="B376" s="73"/>
      <c r="C376" s="79" t="str">
        <f t="shared" si="20"/>
        <v/>
      </c>
      <c r="D376" s="80"/>
      <c r="E376" s="81" t="str" cm="1">
        <f t="array" ref="E376">_xlfn.IFS($E$6="First-Line Scenario",IFERROR(C376/C376*'Mortgage Calculator'!$G$25," "),$E$6="Recommendation",IFERROR(C376/C376*'Mortgage Calculator'!$U$28,""))</f>
        <v/>
      </c>
      <c r="F376" s="82" t="str">
        <f>IFERROR(C376/C376*H375*'Mortgage Calculator'!$C$13/12,"")</f>
        <v/>
      </c>
      <c r="G376" s="82" t="str">
        <f t="shared" si="21"/>
        <v/>
      </c>
      <c r="H376" s="100" t="str">
        <f t="shared" si="22"/>
        <v/>
      </c>
      <c r="I376" s="74"/>
      <c r="J376" s="88" t="str">
        <f t="shared" si="23"/>
        <v/>
      </c>
      <c r="K376" s="73"/>
    </row>
    <row r="377" spans="2:11" x14ac:dyDescent="0.3">
      <c r="B377" s="73"/>
      <c r="C377" s="79" t="str">
        <f t="shared" si="20"/>
        <v/>
      </c>
      <c r="D377" s="80"/>
      <c r="E377" s="81" t="str" cm="1">
        <f t="array" ref="E377">_xlfn.IFS($E$6="First-Line Scenario",IFERROR(C377/C377*'Mortgage Calculator'!$G$25," "),$E$6="Recommendation",IFERROR(C377/C377*'Mortgage Calculator'!$U$28,""))</f>
        <v/>
      </c>
      <c r="F377" s="82" t="str">
        <f>IFERROR(C377/C377*H376*'Mortgage Calculator'!$C$13/12,"")</f>
        <v/>
      </c>
      <c r="G377" s="82" t="str">
        <f t="shared" si="21"/>
        <v/>
      </c>
      <c r="H377" s="100" t="str">
        <f t="shared" si="22"/>
        <v/>
      </c>
      <c r="I377" s="74"/>
      <c r="J377" s="88" t="str">
        <f t="shared" si="23"/>
        <v/>
      </c>
      <c r="K377" s="73"/>
    </row>
    <row r="378" spans="2:11" x14ac:dyDescent="0.3">
      <c r="B378" s="73"/>
      <c r="C378" s="79" t="str">
        <f t="shared" si="20"/>
        <v/>
      </c>
      <c r="D378" s="80"/>
      <c r="E378" s="81" t="str" cm="1">
        <f t="array" ref="E378">_xlfn.IFS($E$6="First-Line Scenario",IFERROR(C378/C378*'Mortgage Calculator'!$G$25," "),$E$6="Recommendation",IFERROR(C378/C378*'Mortgage Calculator'!$U$28,""))</f>
        <v/>
      </c>
      <c r="F378" s="82" t="str">
        <f>IFERROR(C378/C378*H377*'Mortgage Calculator'!$C$13/12,"")</f>
        <v/>
      </c>
      <c r="G378" s="82" t="str">
        <f t="shared" si="21"/>
        <v/>
      </c>
      <c r="H378" s="100" t="str">
        <f t="shared" si="22"/>
        <v/>
      </c>
      <c r="I378" s="74"/>
      <c r="J378" s="88" t="str">
        <f t="shared" si="23"/>
        <v/>
      </c>
      <c r="K378" s="73"/>
    </row>
    <row r="379" spans="2:11" x14ac:dyDescent="0.3">
      <c r="B379" s="73"/>
      <c r="C379" s="79" t="str">
        <f t="shared" si="20"/>
        <v/>
      </c>
      <c r="D379" s="80"/>
      <c r="E379" s="81" t="str" cm="1">
        <f t="array" ref="E379">_xlfn.IFS($E$6="First-Line Scenario",IFERROR(C379/C379*'Mortgage Calculator'!$G$25," "),$E$6="Recommendation",IFERROR(C379/C379*'Mortgage Calculator'!$U$28,""))</f>
        <v/>
      </c>
      <c r="F379" s="82" t="str">
        <f>IFERROR(C379/C379*H378*'Mortgage Calculator'!$C$13/12,"")</f>
        <v/>
      </c>
      <c r="G379" s="82" t="str">
        <f t="shared" si="21"/>
        <v/>
      </c>
      <c r="H379" s="100" t="str">
        <f t="shared" si="22"/>
        <v/>
      </c>
      <c r="I379" s="74"/>
      <c r="J379" s="88" t="str">
        <f t="shared" si="23"/>
        <v/>
      </c>
      <c r="K379" s="73"/>
    </row>
    <row r="380" spans="2:11" x14ac:dyDescent="0.3">
      <c r="B380" s="73"/>
      <c r="C380" s="79" t="str">
        <f t="shared" si="20"/>
        <v/>
      </c>
      <c r="D380" s="80"/>
      <c r="E380" s="81" t="str" cm="1">
        <f t="array" ref="E380">_xlfn.IFS($E$6="First-Line Scenario",IFERROR(C380/C380*'Mortgage Calculator'!$G$25," "),$E$6="Recommendation",IFERROR(C380/C380*'Mortgage Calculator'!$U$28,""))</f>
        <v/>
      </c>
      <c r="F380" s="82" t="str">
        <f>IFERROR(C380/C380*H379*'Mortgage Calculator'!$C$13/12,"")</f>
        <v/>
      </c>
      <c r="G380" s="82" t="str">
        <f t="shared" si="21"/>
        <v/>
      </c>
      <c r="H380" s="100" t="str">
        <f t="shared" si="22"/>
        <v/>
      </c>
      <c r="I380" s="74"/>
      <c r="J380" s="88" t="str">
        <f t="shared" si="23"/>
        <v/>
      </c>
      <c r="K380" s="73"/>
    </row>
    <row r="381" spans="2:11" x14ac:dyDescent="0.3">
      <c r="B381" s="73"/>
      <c r="C381" s="79" t="str">
        <f t="shared" si="20"/>
        <v/>
      </c>
      <c r="D381" s="80"/>
      <c r="E381" s="81" t="str" cm="1">
        <f t="array" ref="E381">_xlfn.IFS($E$6="First-Line Scenario",IFERROR(C381/C381*'Mortgage Calculator'!$G$25," "),$E$6="Recommendation",IFERROR(C381/C381*'Mortgage Calculator'!$U$28,""))</f>
        <v/>
      </c>
      <c r="F381" s="82" t="str">
        <f>IFERROR(C381/C381*H380*'Mortgage Calculator'!$C$13/12,"")</f>
        <v/>
      </c>
      <c r="G381" s="82" t="str">
        <f t="shared" si="21"/>
        <v/>
      </c>
      <c r="H381" s="100" t="str">
        <f t="shared" si="22"/>
        <v/>
      </c>
      <c r="I381" s="74"/>
      <c r="J381" s="88" t="str">
        <f t="shared" si="23"/>
        <v/>
      </c>
      <c r="K381" s="73"/>
    </row>
    <row r="382" spans="2:11" x14ac:dyDescent="0.3">
      <c r="B382" s="73"/>
      <c r="C382" s="79" t="str">
        <f t="shared" si="20"/>
        <v/>
      </c>
      <c r="D382" s="80"/>
      <c r="E382" s="81" t="str" cm="1">
        <f t="array" ref="E382">_xlfn.IFS($E$6="First-Line Scenario",IFERROR(C382/C382*'Mortgage Calculator'!$G$25," "),$E$6="Recommendation",IFERROR(C382/C382*'Mortgage Calculator'!$U$28,""))</f>
        <v/>
      </c>
      <c r="F382" s="82" t="str">
        <f>IFERROR(C382/C382*H381*'Mortgage Calculator'!$C$13/12,"")</f>
        <v/>
      </c>
      <c r="G382" s="82" t="str">
        <f t="shared" si="21"/>
        <v/>
      </c>
      <c r="H382" s="100" t="str">
        <f t="shared" si="22"/>
        <v/>
      </c>
      <c r="I382" s="74"/>
      <c r="J382" s="88" t="str">
        <f t="shared" si="23"/>
        <v/>
      </c>
      <c r="K382" s="73"/>
    </row>
    <row r="383" spans="2:11" x14ac:dyDescent="0.3">
      <c r="B383" s="73"/>
      <c r="C383" s="79" t="str">
        <f t="shared" si="20"/>
        <v/>
      </c>
      <c r="D383" s="80"/>
      <c r="E383" s="81" t="str" cm="1">
        <f t="array" ref="E383">_xlfn.IFS($E$6="First-Line Scenario",IFERROR(C383/C383*'Mortgage Calculator'!$G$25," "),$E$6="Recommendation",IFERROR(C383/C383*'Mortgage Calculator'!$U$28,""))</f>
        <v/>
      </c>
      <c r="F383" s="82" t="str">
        <f>IFERROR(C383/C383*H382*'Mortgage Calculator'!$C$13/12,"")</f>
        <v/>
      </c>
      <c r="G383" s="82" t="str">
        <f t="shared" si="21"/>
        <v/>
      </c>
      <c r="H383" s="100" t="str">
        <f t="shared" si="22"/>
        <v/>
      </c>
      <c r="I383" s="74"/>
      <c r="J383" s="88" t="str">
        <f t="shared" si="23"/>
        <v/>
      </c>
      <c r="K383" s="73"/>
    </row>
    <row r="384" spans="2:11" x14ac:dyDescent="0.3">
      <c r="B384" s="73"/>
      <c r="C384" s="79" t="str">
        <f t="shared" si="20"/>
        <v/>
      </c>
      <c r="D384" s="80"/>
      <c r="E384" s="81" t="str" cm="1">
        <f t="array" ref="E384">_xlfn.IFS($E$6="First-Line Scenario",IFERROR(C384/C384*'Mortgage Calculator'!$G$25," "),$E$6="Recommendation",IFERROR(C384/C384*'Mortgage Calculator'!$U$28,""))</f>
        <v/>
      </c>
      <c r="F384" s="82" t="str">
        <f>IFERROR(C384/C384*H383*'Mortgage Calculator'!$C$13/12,"")</f>
        <v/>
      </c>
      <c r="G384" s="82" t="str">
        <f t="shared" si="21"/>
        <v/>
      </c>
      <c r="H384" s="100" t="str">
        <f t="shared" si="22"/>
        <v/>
      </c>
      <c r="I384" s="74"/>
      <c r="J384" s="88" t="str">
        <f t="shared" si="23"/>
        <v/>
      </c>
      <c r="K384" s="73"/>
    </row>
    <row r="385" spans="2:11" x14ac:dyDescent="0.3">
      <c r="B385" s="73"/>
      <c r="C385" s="79" t="str">
        <f t="shared" si="20"/>
        <v/>
      </c>
      <c r="D385" s="80"/>
      <c r="E385" s="81" t="str" cm="1">
        <f t="array" ref="E385">_xlfn.IFS($E$6="First-Line Scenario",IFERROR(C385/C385*'Mortgage Calculator'!$G$25," "),$E$6="Recommendation",IFERROR(C385/C385*'Mortgage Calculator'!$U$28,""))</f>
        <v/>
      </c>
      <c r="F385" s="82" t="str">
        <f>IFERROR(C385/C385*H384*'Mortgage Calculator'!$C$13/12,"")</f>
        <v/>
      </c>
      <c r="G385" s="82" t="str">
        <f t="shared" si="21"/>
        <v/>
      </c>
      <c r="H385" s="100" t="str">
        <f t="shared" si="22"/>
        <v/>
      </c>
      <c r="I385" s="74"/>
      <c r="J385" s="88" t="str">
        <f t="shared" si="23"/>
        <v/>
      </c>
      <c r="K385" s="73"/>
    </row>
    <row r="386" spans="2:11" x14ac:dyDescent="0.3">
      <c r="B386" s="73"/>
      <c r="C386" s="79" t="str">
        <f t="shared" si="20"/>
        <v/>
      </c>
      <c r="D386" s="80"/>
      <c r="E386" s="81" t="str" cm="1">
        <f t="array" ref="E386">_xlfn.IFS($E$6="First-Line Scenario",IFERROR(C386/C386*'Mortgage Calculator'!$G$25," "),$E$6="Recommendation",IFERROR(C386/C386*'Mortgage Calculator'!$U$28,""))</f>
        <v/>
      </c>
      <c r="F386" s="82" t="str">
        <f>IFERROR(C386/C386*H385*'Mortgage Calculator'!$C$13/12,"")</f>
        <v/>
      </c>
      <c r="G386" s="82" t="str">
        <f t="shared" si="21"/>
        <v/>
      </c>
      <c r="H386" s="100" t="str">
        <f t="shared" si="22"/>
        <v/>
      </c>
      <c r="I386" s="74"/>
      <c r="J386" s="88" t="str">
        <f t="shared" si="23"/>
        <v/>
      </c>
      <c r="K386" s="73"/>
    </row>
    <row r="387" spans="2:11" x14ac:dyDescent="0.3">
      <c r="B387" s="73"/>
      <c r="C387" s="79" t="str">
        <f t="shared" si="20"/>
        <v/>
      </c>
      <c r="D387" s="80"/>
      <c r="E387" s="81" t="str" cm="1">
        <f t="array" ref="E387">_xlfn.IFS($E$6="First-Line Scenario",IFERROR(C387/C387*'Mortgage Calculator'!$G$25," "),$E$6="Recommendation",IFERROR(C387/C387*'Mortgage Calculator'!$U$28,""))</f>
        <v/>
      </c>
      <c r="F387" s="82" t="str">
        <f>IFERROR(C387/C387*H386*'Mortgage Calculator'!$C$13/12,"")</f>
        <v/>
      </c>
      <c r="G387" s="82" t="str">
        <f t="shared" si="21"/>
        <v/>
      </c>
      <c r="H387" s="100" t="str">
        <f t="shared" si="22"/>
        <v/>
      </c>
      <c r="I387" s="74"/>
      <c r="J387" s="88" t="str">
        <f t="shared" si="23"/>
        <v/>
      </c>
      <c r="K387" s="73"/>
    </row>
    <row r="388" spans="2:11" x14ac:dyDescent="0.3">
      <c r="B388" s="73"/>
      <c r="C388" s="79" t="str">
        <f t="shared" si="20"/>
        <v/>
      </c>
      <c r="D388" s="80"/>
      <c r="E388" s="81" t="str" cm="1">
        <f t="array" ref="E388">_xlfn.IFS($E$6="First-Line Scenario",IFERROR(C388/C388*'Mortgage Calculator'!$G$25," "),$E$6="Recommendation",IFERROR(C388/C388*'Mortgage Calculator'!$U$28,""))</f>
        <v/>
      </c>
      <c r="F388" s="82" t="str">
        <f>IFERROR(C388/C388*H387*'Mortgage Calculator'!$C$13/12,"")</f>
        <v/>
      </c>
      <c r="G388" s="82" t="str">
        <f t="shared" si="21"/>
        <v/>
      </c>
      <c r="H388" s="100" t="str">
        <f t="shared" si="22"/>
        <v/>
      </c>
      <c r="I388" s="74"/>
      <c r="J388" s="88" t="str">
        <f t="shared" si="23"/>
        <v/>
      </c>
      <c r="K388" s="73"/>
    </row>
    <row r="389" spans="2:11" x14ac:dyDescent="0.3">
      <c r="B389" s="73"/>
      <c r="C389" s="79" t="str">
        <f t="shared" si="20"/>
        <v/>
      </c>
      <c r="D389" s="80"/>
      <c r="E389" s="81" t="str" cm="1">
        <f t="array" ref="E389">_xlfn.IFS($E$6="First-Line Scenario",IFERROR(C389/C389*'Mortgage Calculator'!$G$25," "),$E$6="Recommendation",IFERROR(C389/C389*'Mortgage Calculator'!$U$28,""))</f>
        <v/>
      </c>
      <c r="F389" s="82" t="str">
        <f>IFERROR(C389/C389*H388*'Mortgage Calculator'!$C$13/12,"")</f>
        <v/>
      </c>
      <c r="G389" s="82" t="str">
        <f t="shared" si="21"/>
        <v/>
      </c>
      <c r="H389" s="100" t="str">
        <f t="shared" si="22"/>
        <v/>
      </c>
      <c r="I389" s="74"/>
      <c r="J389" s="88" t="str">
        <f t="shared" si="23"/>
        <v/>
      </c>
      <c r="K389" s="73"/>
    </row>
    <row r="390" spans="2:11" x14ac:dyDescent="0.3">
      <c r="B390" s="73"/>
      <c r="C390" s="79" t="str">
        <f t="shared" si="20"/>
        <v/>
      </c>
      <c r="D390" s="80"/>
      <c r="E390" s="81" t="str" cm="1">
        <f t="array" ref="E390">_xlfn.IFS($E$6="First-Line Scenario",IFERROR(C390/C390*'Mortgage Calculator'!$G$25," "),$E$6="Recommendation",IFERROR(C390/C390*'Mortgage Calculator'!$U$28,""))</f>
        <v/>
      </c>
      <c r="F390" s="82" t="str">
        <f>IFERROR(C390/C390*H389*'Mortgage Calculator'!$C$13/12,"")</f>
        <v/>
      </c>
      <c r="G390" s="82" t="str">
        <f t="shared" si="21"/>
        <v/>
      </c>
      <c r="H390" s="100" t="str">
        <f t="shared" si="22"/>
        <v/>
      </c>
      <c r="I390" s="74"/>
      <c r="J390" s="88" t="str">
        <f t="shared" si="23"/>
        <v/>
      </c>
      <c r="K390" s="73"/>
    </row>
    <row r="391" spans="2:11" x14ac:dyDescent="0.3">
      <c r="B391" s="73"/>
      <c r="C391" s="79" t="str">
        <f t="shared" si="20"/>
        <v/>
      </c>
      <c r="D391" s="80"/>
      <c r="E391" s="81" t="str" cm="1">
        <f t="array" ref="E391">_xlfn.IFS($E$6="First-Line Scenario",IFERROR(C391/C391*'Mortgage Calculator'!$G$25," "),$E$6="Recommendation",IFERROR(C391/C391*'Mortgage Calculator'!$U$28,""))</f>
        <v/>
      </c>
      <c r="F391" s="82" t="str">
        <f>IFERROR(C391/C391*H390*'Mortgage Calculator'!$C$13/12,"")</f>
        <v/>
      </c>
      <c r="G391" s="82" t="str">
        <f t="shared" si="21"/>
        <v/>
      </c>
      <c r="H391" s="100" t="str">
        <f t="shared" si="22"/>
        <v/>
      </c>
      <c r="I391" s="74"/>
      <c r="J391" s="88" t="str">
        <f t="shared" si="23"/>
        <v/>
      </c>
      <c r="K391" s="73"/>
    </row>
    <row r="392" spans="2:11" x14ac:dyDescent="0.3">
      <c r="B392" s="73"/>
      <c r="C392" s="79" t="str">
        <f t="shared" si="20"/>
        <v/>
      </c>
      <c r="D392" s="80"/>
      <c r="E392" s="81" t="str" cm="1">
        <f t="array" ref="E392">_xlfn.IFS($E$6="First-Line Scenario",IFERROR(C392/C392*'Mortgage Calculator'!$G$25," "),$E$6="Recommendation",IFERROR(C392/C392*'Mortgage Calculator'!$U$28,""))</f>
        <v/>
      </c>
      <c r="F392" s="82" t="str">
        <f>IFERROR(C392/C392*H391*'Mortgage Calculator'!$C$13/12,"")</f>
        <v/>
      </c>
      <c r="G392" s="82" t="str">
        <f t="shared" si="21"/>
        <v/>
      </c>
      <c r="H392" s="100" t="str">
        <f t="shared" si="22"/>
        <v/>
      </c>
      <c r="I392" s="74"/>
      <c r="J392" s="88" t="str">
        <f t="shared" si="23"/>
        <v/>
      </c>
      <c r="K392" s="73"/>
    </row>
    <row r="393" spans="2:11" x14ac:dyDescent="0.3">
      <c r="B393" s="73"/>
      <c r="C393" s="79" t="str">
        <f t="shared" si="20"/>
        <v/>
      </c>
      <c r="D393" s="80"/>
      <c r="E393" s="81" t="str" cm="1">
        <f t="array" ref="E393">_xlfn.IFS($E$6="First-Line Scenario",IFERROR(C393/C393*'Mortgage Calculator'!$G$25," "),$E$6="Recommendation",IFERROR(C393/C393*'Mortgage Calculator'!$U$28,""))</f>
        <v/>
      </c>
      <c r="F393" s="82" t="str">
        <f>IFERROR(C393/C393*H392*'Mortgage Calculator'!$C$13/12,"")</f>
        <v/>
      </c>
      <c r="G393" s="82" t="str">
        <f t="shared" si="21"/>
        <v/>
      </c>
      <c r="H393" s="100" t="str">
        <f t="shared" si="22"/>
        <v/>
      </c>
      <c r="I393" s="74"/>
      <c r="J393" s="88" t="str">
        <f t="shared" si="23"/>
        <v/>
      </c>
      <c r="K393" s="73"/>
    </row>
    <row r="394" spans="2:11" x14ac:dyDescent="0.3">
      <c r="B394" s="73"/>
      <c r="C394" s="79" t="str">
        <f t="shared" si="20"/>
        <v/>
      </c>
      <c r="D394" s="80"/>
      <c r="E394" s="81" t="str" cm="1">
        <f t="array" ref="E394">_xlfn.IFS($E$6="First-Line Scenario",IFERROR(C394/C394*'Mortgage Calculator'!$G$25," "),$E$6="Recommendation",IFERROR(C394/C394*'Mortgage Calculator'!$U$28,""))</f>
        <v/>
      </c>
      <c r="F394" s="82" t="str">
        <f>IFERROR(C394/C394*H393*'Mortgage Calculator'!$C$13/12,"")</f>
        <v/>
      </c>
      <c r="G394" s="82" t="str">
        <f t="shared" si="21"/>
        <v/>
      </c>
      <c r="H394" s="100" t="str">
        <f t="shared" si="22"/>
        <v/>
      </c>
      <c r="I394" s="74"/>
      <c r="J394" s="88" t="str">
        <f t="shared" si="23"/>
        <v/>
      </c>
      <c r="K394" s="73"/>
    </row>
    <row r="395" spans="2:11" x14ac:dyDescent="0.3">
      <c r="B395" s="73"/>
      <c r="C395" s="79" t="str">
        <f t="shared" si="20"/>
        <v/>
      </c>
      <c r="D395" s="80"/>
      <c r="E395" s="81" t="str" cm="1">
        <f t="array" ref="E395">_xlfn.IFS($E$6="First-Line Scenario",IFERROR(C395/C395*'Mortgage Calculator'!$G$25," "),$E$6="Recommendation",IFERROR(C395/C395*'Mortgage Calculator'!$U$28,""))</f>
        <v/>
      </c>
      <c r="F395" s="82" t="str">
        <f>IFERROR(C395/C395*H394*'Mortgage Calculator'!$C$13/12,"")</f>
        <v/>
      </c>
      <c r="G395" s="82" t="str">
        <f t="shared" si="21"/>
        <v/>
      </c>
      <c r="H395" s="100" t="str">
        <f t="shared" si="22"/>
        <v/>
      </c>
      <c r="I395" s="74"/>
      <c r="J395" s="88" t="str">
        <f t="shared" si="23"/>
        <v/>
      </c>
      <c r="K395" s="73"/>
    </row>
    <row r="396" spans="2:11" x14ac:dyDescent="0.3">
      <c r="B396" s="73"/>
      <c r="C396" s="79" t="str">
        <f t="shared" si="20"/>
        <v/>
      </c>
      <c r="D396" s="80"/>
      <c r="E396" s="81" t="str" cm="1">
        <f t="array" ref="E396">_xlfn.IFS($E$6="First-Line Scenario",IFERROR(C396/C396*'Mortgage Calculator'!$G$25," "),$E$6="Recommendation",IFERROR(C396/C396*'Mortgage Calculator'!$U$28,""))</f>
        <v/>
      </c>
      <c r="F396" s="82" t="str">
        <f>IFERROR(C396/C396*H395*'Mortgage Calculator'!$C$13/12,"")</f>
        <v/>
      </c>
      <c r="G396" s="82" t="str">
        <f t="shared" si="21"/>
        <v/>
      </c>
      <c r="H396" s="100" t="str">
        <f t="shared" si="22"/>
        <v/>
      </c>
      <c r="I396" s="74"/>
      <c r="J396" s="88" t="str">
        <f t="shared" si="23"/>
        <v/>
      </c>
      <c r="K396" s="73"/>
    </row>
    <row r="397" spans="2:11" x14ac:dyDescent="0.3">
      <c r="B397" s="73"/>
      <c r="C397" s="79" t="str">
        <f t="shared" ref="C397:C430" si="24">IF(D397="","",ROW()-11)</f>
        <v/>
      </c>
      <c r="D397" s="80"/>
      <c r="E397" s="81" t="str" cm="1">
        <f t="array" ref="E397">_xlfn.IFS($E$6="First-Line Scenario",IFERROR(C397/C397*'Mortgage Calculator'!$G$25," "),$E$6="Recommendation",IFERROR(C397/C397*'Mortgage Calculator'!$U$28,""))</f>
        <v/>
      </c>
      <c r="F397" s="82" t="str">
        <f>IFERROR(C397/C397*H396*'Mortgage Calculator'!$C$13/12,"")</f>
        <v/>
      </c>
      <c r="G397" s="82" t="str">
        <f t="shared" ref="G397:G431" si="25">IFERROR(E397-F397,"")</f>
        <v/>
      </c>
      <c r="H397" s="100" t="str">
        <f t="shared" ref="H397:H431" si="26">IFERROR(H396-G397,"")</f>
        <v/>
      </c>
      <c r="I397" s="74"/>
      <c r="J397" s="88" t="str">
        <f t="shared" ref="J397:J431" si="27">IFERROR(J396+F397,"")</f>
        <v/>
      </c>
      <c r="K397" s="73"/>
    </row>
    <row r="398" spans="2:11" x14ac:dyDescent="0.3">
      <c r="B398" s="73"/>
      <c r="C398" s="79" t="str">
        <f t="shared" si="24"/>
        <v/>
      </c>
      <c r="D398" s="80"/>
      <c r="E398" s="81" t="str" cm="1">
        <f t="array" ref="E398">_xlfn.IFS($E$6="First-Line Scenario",IFERROR(C398/C398*'Mortgage Calculator'!$G$25," "),$E$6="Recommendation",IFERROR(C398/C398*'Mortgage Calculator'!$U$28,""))</f>
        <v/>
      </c>
      <c r="F398" s="82" t="str">
        <f>IFERROR(C398/C398*H397*'Mortgage Calculator'!$C$13/12,"")</f>
        <v/>
      </c>
      <c r="G398" s="82" t="str">
        <f t="shared" si="25"/>
        <v/>
      </c>
      <c r="H398" s="100" t="str">
        <f t="shared" si="26"/>
        <v/>
      </c>
      <c r="I398" s="74"/>
      <c r="J398" s="88" t="str">
        <f t="shared" si="27"/>
        <v/>
      </c>
      <c r="K398" s="73"/>
    </row>
    <row r="399" spans="2:11" x14ac:dyDescent="0.3">
      <c r="B399" s="73"/>
      <c r="C399" s="79" t="str">
        <f t="shared" si="24"/>
        <v/>
      </c>
      <c r="D399" s="80"/>
      <c r="E399" s="81" t="str" cm="1">
        <f t="array" ref="E399">_xlfn.IFS($E$6="First-Line Scenario",IFERROR(C399/C399*'Mortgage Calculator'!$G$25," "),$E$6="Recommendation",IFERROR(C399/C399*'Mortgage Calculator'!$U$28,""))</f>
        <v/>
      </c>
      <c r="F399" s="82" t="str">
        <f>IFERROR(C399/C399*H398*'Mortgage Calculator'!$C$13/12,"")</f>
        <v/>
      </c>
      <c r="G399" s="82" t="str">
        <f t="shared" si="25"/>
        <v/>
      </c>
      <c r="H399" s="100" t="str">
        <f t="shared" si="26"/>
        <v/>
      </c>
      <c r="I399" s="74"/>
      <c r="J399" s="88" t="str">
        <f t="shared" si="27"/>
        <v/>
      </c>
      <c r="K399" s="73"/>
    </row>
    <row r="400" spans="2:11" x14ac:dyDescent="0.3">
      <c r="B400" s="73"/>
      <c r="C400" s="79" t="str">
        <f t="shared" si="24"/>
        <v/>
      </c>
      <c r="D400" s="80"/>
      <c r="E400" s="81" t="str" cm="1">
        <f t="array" ref="E400">_xlfn.IFS($E$6="First-Line Scenario",IFERROR(C400/C400*'Mortgage Calculator'!$G$25," "),$E$6="Recommendation",IFERROR(C400/C400*'Mortgage Calculator'!$U$28,""))</f>
        <v/>
      </c>
      <c r="F400" s="82" t="str">
        <f>IFERROR(C400/C400*H399*'Mortgage Calculator'!$C$13/12,"")</f>
        <v/>
      </c>
      <c r="G400" s="82" t="str">
        <f t="shared" si="25"/>
        <v/>
      </c>
      <c r="H400" s="100" t="str">
        <f t="shared" si="26"/>
        <v/>
      </c>
      <c r="I400" s="74"/>
      <c r="J400" s="88" t="str">
        <f t="shared" si="27"/>
        <v/>
      </c>
      <c r="K400" s="73"/>
    </row>
    <row r="401" spans="2:11" x14ac:dyDescent="0.3">
      <c r="B401" s="73"/>
      <c r="C401" s="79" t="str">
        <f t="shared" si="24"/>
        <v/>
      </c>
      <c r="D401" s="80"/>
      <c r="E401" s="81" t="str" cm="1">
        <f t="array" ref="E401">_xlfn.IFS($E$6="First-Line Scenario",IFERROR(C401/C401*'Mortgage Calculator'!$G$25," "),$E$6="Recommendation",IFERROR(C401/C401*'Mortgage Calculator'!$U$28,""))</f>
        <v/>
      </c>
      <c r="F401" s="82" t="str">
        <f>IFERROR(C401/C401*H400*'Mortgage Calculator'!$C$13/12,"")</f>
        <v/>
      </c>
      <c r="G401" s="82" t="str">
        <f t="shared" si="25"/>
        <v/>
      </c>
      <c r="H401" s="100" t="str">
        <f t="shared" si="26"/>
        <v/>
      </c>
      <c r="I401" s="74"/>
      <c r="J401" s="88" t="str">
        <f t="shared" si="27"/>
        <v/>
      </c>
      <c r="K401" s="73"/>
    </row>
    <row r="402" spans="2:11" x14ac:dyDescent="0.3">
      <c r="B402" s="73"/>
      <c r="C402" s="79" t="str">
        <f t="shared" si="24"/>
        <v/>
      </c>
      <c r="D402" s="80"/>
      <c r="E402" s="81" t="str" cm="1">
        <f t="array" ref="E402">_xlfn.IFS($E$6="First-Line Scenario",IFERROR(C402/C402*'Mortgage Calculator'!$G$25," "),$E$6="Recommendation",IFERROR(C402/C402*'Mortgage Calculator'!$U$28,""))</f>
        <v/>
      </c>
      <c r="F402" s="82" t="str">
        <f>IFERROR(C402/C402*H401*'Mortgage Calculator'!$C$13/12,"")</f>
        <v/>
      </c>
      <c r="G402" s="82" t="str">
        <f t="shared" si="25"/>
        <v/>
      </c>
      <c r="H402" s="100" t="str">
        <f t="shared" si="26"/>
        <v/>
      </c>
      <c r="I402" s="74"/>
      <c r="J402" s="88" t="str">
        <f t="shared" si="27"/>
        <v/>
      </c>
      <c r="K402" s="73"/>
    </row>
    <row r="403" spans="2:11" x14ac:dyDescent="0.3">
      <c r="B403" s="73"/>
      <c r="C403" s="79" t="str">
        <f t="shared" si="24"/>
        <v/>
      </c>
      <c r="D403" s="80"/>
      <c r="E403" s="81" t="str" cm="1">
        <f t="array" ref="E403">_xlfn.IFS($E$6="First-Line Scenario",IFERROR(C403/C403*'Mortgage Calculator'!$G$25," "),$E$6="Recommendation",IFERROR(C403/C403*'Mortgage Calculator'!$U$28,""))</f>
        <v/>
      </c>
      <c r="F403" s="82" t="str">
        <f>IFERROR(C403/C403*H402*'Mortgage Calculator'!$C$13/12,"")</f>
        <v/>
      </c>
      <c r="G403" s="82" t="str">
        <f t="shared" si="25"/>
        <v/>
      </c>
      <c r="H403" s="100" t="str">
        <f t="shared" si="26"/>
        <v/>
      </c>
      <c r="I403" s="74"/>
      <c r="J403" s="88" t="str">
        <f t="shared" si="27"/>
        <v/>
      </c>
      <c r="K403" s="73"/>
    </row>
    <row r="404" spans="2:11" x14ac:dyDescent="0.3">
      <c r="B404" s="73"/>
      <c r="C404" s="79" t="str">
        <f t="shared" si="24"/>
        <v/>
      </c>
      <c r="D404" s="80"/>
      <c r="E404" s="81" t="str" cm="1">
        <f t="array" ref="E404">_xlfn.IFS($E$6="First-Line Scenario",IFERROR(C404/C404*'Mortgage Calculator'!$G$25," "),$E$6="Recommendation",IFERROR(C404/C404*'Mortgage Calculator'!$U$28,""))</f>
        <v/>
      </c>
      <c r="F404" s="82" t="str">
        <f>IFERROR(C404/C404*H403*'Mortgage Calculator'!$C$13/12,"")</f>
        <v/>
      </c>
      <c r="G404" s="82" t="str">
        <f t="shared" si="25"/>
        <v/>
      </c>
      <c r="H404" s="100" t="str">
        <f t="shared" si="26"/>
        <v/>
      </c>
      <c r="I404" s="74"/>
      <c r="J404" s="88" t="str">
        <f t="shared" si="27"/>
        <v/>
      </c>
      <c r="K404" s="73"/>
    </row>
    <row r="405" spans="2:11" x14ac:dyDescent="0.3">
      <c r="B405" s="73"/>
      <c r="C405" s="79" t="str">
        <f t="shared" si="24"/>
        <v/>
      </c>
      <c r="D405" s="80"/>
      <c r="E405" s="81" t="str" cm="1">
        <f t="array" ref="E405">_xlfn.IFS($E$6="First-Line Scenario",IFERROR(C405/C405*'Mortgage Calculator'!$G$25," "),$E$6="Recommendation",IFERROR(C405/C405*'Mortgage Calculator'!$U$28,""))</f>
        <v/>
      </c>
      <c r="F405" s="82" t="str">
        <f>IFERROR(C405/C405*H404*'Mortgage Calculator'!$C$13/12,"")</f>
        <v/>
      </c>
      <c r="G405" s="82" t="str">
        <f t="shared" si="25"/>
        <v/>
      </c>
      <c r="H405" s="100" t="str">
        <f t="shared" si="26"/>
        <v/>
      </c>
      <c r="I405" s="74"/>
      <c r="J405" s="88" t="str">
        <f t="shared" si="27"/>
        <v/>
      </c>
      <c r="K405" s="73"/>
    </row>
    <row r="406" spans="2:11" x14ac:dyDescent="0.3">
      <c r="B406" s="73"/>
      <c r="C406" s="79" t="str">
        <f t="shared" si="24"/>
        <v/>
      </c>
      <c r="D406" s="80"/>
      <c r="E406" s="81" t="str" cm="1">
        <f t="array" ref="E406">_xlfn.IFS($E$6="First-Line Scenario",IFERROR(C406/C406*'Mortgage Calculator'!$G$25," "),$E$6="Recommendation",IFERROR(C406/C406*'Mortgage Calculator'!$U$28,""))</f>
        <v/>
      </c>
      <c r="F406" s="82" t="str">
        <f>IFERROR(C406/C406*H405*'Mortgage Calculator'!$C$13/12,"")</f>
        <v/>
      </c>
      <c r="G406" s="82" t="str">
        <f t="shared" si="25"/>
        <v/>
      </c>
      <c r="H406" s="100" t="str">
        <f t="shared" si="26"/>
        <v/>
      </c>
      <c r="I406" s="74"/>
      <c r="J406" s="88" t="str">
        <f t="shared" si="27"/>
        <v/>
      </c>
      <c r="K406" s="73"/>
    </row>
    <row r="407" spans="2:11" x14ac:dyDescent="0.3">
      <c r="B407" s="73"/>
      <c r="C407" s="79" t="str">
        <f t="shared" si="24"/>
        <v/>
      </c>
      <c r="D407" s="80"/>
      <c r="E407" s="81" t="str" cm="1">
        <f t="array" ref="E407">_xlfn.IFS($E$6="First-Line Scenario",IFERROR(C407/C407*'Mortgage Calculator'!$G$25," "),$E$6="Recommendation",IFERROR(C407/C407*'Mortgage Calculator'!$U$28,""))</f>
        <v/>
      </c>
      <c r="F407" s="82" t="str">
        <f>IFERROR(C407/C407*H406*'Mortgage Calculator'!$C$13/12,"")</f>
        <v/>
      </c>
      <c r="G407" s="82" t="str">
        <f t="shared" si="25"/>
        <v/>
      </c>
      <c r="H407" s="100" t="str">
        <f t="shared" si="26"/>
        <v/>
      </c>
      <c r="I407" s="74"/>
      <c r="J407" s="88" t="str">
        <f t="shared" si="27"/>
        <v/>
      </c>
      <c r="K407" s="73"/>
    </row>
    <row r="408" spans="2:11" x14ac:dyDescent="0.3">
      <c r="B408" s="73"/>
      <c r="C408" s="79" t="str">
        <f t="shared" si="24"/>
        <v/>
      </c>
      <c r="D408" s="80"/>
      <c r="E408" s="81" t="str" cm="1">
        <f t="array" ref="E408">_xlfn.IFS($E$6="First-Line Scenario",IFERROR(C408/C408*'Mortgage Calculator'!$G$25," "),$E$6="Recommendation",IFERROR(C408/C408*'Mortgage Calculator'!$U$28,""))</f>
        <v/>
      </c>
      <c r="F408" s="82" t="str">
        <f>IFERROR(C408/C408*H407*'Mortgage Calculator'!$C$13/12,"")</f>
        <v/>
      </c>
      <c r="G408" s="82" t="str">
        <f t="shared" si="25"/>
        <v/>
      </c>
      <c r="H408" s="100" t="str">
        <f t="shared" si="26"/>
        <v/>
      </c>
      <c r="I408" s="74"/>
      <c r="J408" s="88" t="str">
        <f t="shared" si="27"/>
        <v/>
      </c>
      <c r="K408" s="73"/>
    </row>
    <row r="409" spans="2:11" x14ac:dyDescent="0.3">
      <c r="B409" s="73"/>
      <c r="C409" s="79" t="str">
        <f t="shared" si="24"/>
        <v/>
      </c>
      <c r="D409" s="80"/>
      <c r="E409" s="81" t="str" cm="1">
        <f t="array" ref="E409">_xlfn.IFS($E$6="First-Line Scenario",IFERROR(C409/C409*'Mortgage Calculator'!$G$25," "),$E$6="Recommendation",IFERROR(C409/C409*'Mortgage Calculator'!$U$28,""))</f>
        <v/>
      </c>
      <c r="F409" s="82" t="str">
        <f>IFERROR(C409/C409*H408*'Mortgage Calculator'!$C$13/12,"")</f>
        <v/>
      </c>
      <c r="G409" s="82" t="str">
        <f t="shared" si="25"/>
        <v/>
      </c>
      <c r="H409" s="100" t="str">
        <f t="shared" si="26"/>
        <v/>
      </c>
      <c r="I409" s="74"/>
      <c r="J409" s="88" t="str">
        <f t="shared" si="27"/>
        <v/>
      </c>
      <c r="K409" s="73"/>
    </row>
    <row r="410" spans="2:11" x14ac:dyDescent="0.3">
      <c r="B410" s="73"/>
      <c r="C410" s="79" t="str">
        <f t="shared" si="24"/>
        <v/>
      </c>
      <c r="D410" s="80"/>
      <c r="E410" s="81" t="str" cm="1">
        <f t="array" ref="E410">_xlfn.IFS($E$6="First-Line Scenario",IFERROR(C410/C410*'Mortgage Calculator'!$G$25," "),$E$6="Recommendation",IFERROR(C410/C410*'Mortgage Calculator'!$U$28,""))</f>
        <v/>
      </c>
      <c r="F410" s="82" t="str">
        <f>IFERROR(C410/C410*H409*'Mortgage Calculator'!$C$13/12,"")</f>
        <v/>
      </c>
      <c r="G410" s="82" t="str">
        <f t="shared" si="25"/>
        <v/>
      </c>
      <c r="H410" s="100" t="str">
        <f t="shared" si="26"/>
        <v/>
      </c>
      <c r="I410" s="74"/>
      <c r="J410" s="88" t="str">
        <f t="shared" si="27"/>
        <v/>
      </c>
      <c r="K410" s="73"/>
    </row>
    <row r="411" spans="2:11" x14ac:dyDescent="0.3">
      <c r="B411" s="73"/>
      <c r="C411" s="79" t="str">
        <f t="shared" si="24"/>
        <v/>
      </c>
      <c r="D411" s="80"/>
      <c r="E411" s="81" t="str" cm="1">
        <f t="array" ref="E411">_xlfn.IFS($E$6="First-Line Scenario",IFERROR(C411/C411*'Mortgage Calculator'!$G$25," "),$E$6="Recommendation",IFERROR(C411/C411*'Mortgage Calculator'!$U$28,""))</f>
        <v/>
      </c>
      <c r="F411" s="82" t="str">
        <f>IFERROR(C411/C411*H410*'Mortgage Calculator'!$C$13/12,"")</f>
        <v/>
      </c>
      <c r="G411" s="82" t="str">
        <f t="shared" si="25"/>
        <v/>
      </c>
      <c r="H411" s="100" t="str">
        <f t="shared" si="26"/>
        <v/>
      </c>
      <c r="I411" s="74"/>
      <c r="J411" s="88" t="str">
        <f t="shared" si="27"/>
        <v/>
      </c>
      <c r="K411" s="73"/>
    </row>
    <row r="412" spans="2:11" x14ac:dyDescent="0.3">
      <c r="B412" s="73"/>
      <c r="C412" s="79" t="str">
        <f t="shared" si="24"/>
        <v/>
      </c>
      <c r="D412" s="80"/>
      <c r="E412" s="81" t="str" cm="1">
        <f t="array" ref="E412">_xlfn.IFS($E$6="First-Line Scenario",IFERROR(C412/C412*'Mortgage Calculator'!$G$25," "),$E$6="Recommendation",IFERROR(C412/C412*'Mortgage Calculator'!$U$28,""))</f>
        <v/>
      </c>
      <c r="F412" s="82" t="str">
        <f>IFERROR(C412/C412*H411*'Mortgage Calculator'!$C$13/12,"")</f>
        <v/>
      </c>
      <c r="G412" s="82" t="str">
        <f t="shared" si="25"/>
        <v/>
      </c>
      <c r="H412" s="100" t="str">
        <f t="shared" si="26"/>
        <v/>
      </c>
      <c r="I412" s="74"/>
      <c r="J412" s="88" t="str">
        <f t="shared" si="27"/>
        <v/>
      </c>
      <c r="K412" s="73"/>
    </row>
    <row r="413" spans="2:11" x14ac:dyDescent="0.3">
      <c r="B413" s="73"/>
      <c r="C413" s="79" t="str">
        <f t="shared" si="24"/>
        <v/>
      </c>
      <c r="D413" s="80"/>
      <c r="E413" s="81" t="str" cm="1">
        <f t="array" ref="E413">_xlfn.IFS($E$6="First-Line Scenario",IFERROR(C413/C413*'Mortgage Calculator'!$G$25," "),$E$6="Recommendation",IFERROR(C413/C413*'Mortgage Calculator'!$U$28,""))</f>
        <v/>
      </c>
      <c r="F413" s="82" t="str">
        <f>IFERROR(C413/C413*H412*'Mortgage Calculator'!$C$13/12,"")</f>
        <v/>
      </c>
      <c r="G413" s="82" t="str">
        <f t="shared" si="25"/>
        <v/>
      </c>
      <c r="H413" s="100" t="str">
        <f t="shared" si="26"/>
        <v/>
      </c>
      <c r="I413" s="74"/>
      <c r="J413" s="88" t="str">
        <f t="shared" si="27"/>
        <v/>
      </c>
      <c r="K413" s="73"/>
    </row>
    <row r="414" spans="2:11" x14ac:dyDescent="0.3">
      <c r="B414" s="73"/>
      <c r="C414" s="79" t="str">
        <f t="shared" si="24"/>
        <v/>
      </c>
      <c r="D414" s="80"/>
      <c r="E414" s="81" t="str" cm="1">
        <f t="array" ref="E414">_xlfn.IFS($E$6="First-Line Scenario",IFERROR(C414/C414*'Mortgage Calculator'!$G$25," "),$E$6="Recommendation",IFERROR(C414/C414*'Mortgage Calculator'!$U$28,""))</f>
        <v/>
      </c>
      <c r="F414" s="82" t="str">
        <f>IFERROR(C414/C414*H413*'Mortgage Calculator'!$C$13/12,"")</f>
        <v/>
      </c>
      <c r="G414" s="82" t="str">
        <f t="shared" si="25"/>
        <v/>
      </c>
      <c r="H414" s="100" t="str">
        <f t="shared" si="26"/>
        <v/>
      </c>
      <c r="I414" s="74"/>
      <c r="J414" s="88" t="str">
        <f t="shared" si="27"/>
        <v/>
      </c>
      <c r="K414" s="73"/>
    </row>
    <row r="415" spans="2:11" x14ac:dyDescent="0.3">
      <c r="B415" s="73"/>
      <c r="C415" s="79" t="str">
        <f t="shared" si="24"/>
        <v/>
      </c>
      <c r="D415" s="80"/>
      <c r="E415" s="81" t="str" cm="1">
        <f t="array" ref="E415">_xlfn.IFS($E$6="First-Line Scenario",IFERROR(C415/C415*'Mortgage Calculator'!$G$25," "),$E$6="Recommendation",IFERROR(C415/C415*'Mortgage Calculator'!$U$28,""))</f>
        <v/>
      </c>
      <c r="F415" s="82" t="str">
        <f>IFERROR(C415/C415*H414*'Mortgage Calculator'!$C$13/12,"")</f>
        <v/>
      </c>
      <c r="G415" s="82" t="str">
        <f t="shared" si="25"/>
        <v/>
      </c>
      <c r="H415" s="100" t="str">
        <f t="shared" si="26"/>
        <v/>
      </c>
      <c r="I415" s="74"/>
      <c r="J415" s="88" t="str">
        <f t="shared" si="27"/>
        <v/>
      </c>
      <c r="K415" s="73"/>
    </row>
    <row r="416" spans="2:11" x14ac:dyDescent="0.3">
      <c r="B416" s="73"/>
      <c r="C416" s="79" t="str">
        <f t="shared" si="24"/>
        <v/>
      </c>
      <c r="D416" s="80"/>
      <c r="E416" s="81" t="str" cm="1">
        <f t="array" ref="E416">_xlfn.IFS($E$6="First-Line Scenario",IFERROR(C416/C416*'Mortgage Calculator'!$G$25," "),$E$6="Recommendation",IFERROR(C416/C416*'Mortgage Calculator'!$U$28,""))</f>
        <v/>
      </c>
      <c r="F416" s="82" t="str">
        <f>IFERROR(C416/C416*H415*'Mortgage Calculator'!$C$13/12,"")</f>
        <v/>
      </c>
      <c r="G416" s="82" t="str">
        <f t="shared" si="25"/>
        <v/>
      </c>
      <c r="H416" s="100" t="str">
        <f t="shared" si="26"/>
        <v/>
      </c>
      <c r="I416" s="74"/>
      <c r="J416" s="88" t="str">
        <f t="shared" si="27"/>
        <v/>
      </c>
      <c r="K416" s="73"/>
    </row>
    <row r="417" spans="2:11" x14ac:dyDescent="0.3">
      <c r="B417" s="73"/>
      <c r="C417" s="79" t="str">
        <f t="shared" si="24"/>
        <v/>
      </c>
      <c r="D417" s="80"/>
      <c r="E417" s="81" t="str" cm="1">
        <f t="array" ref="E417">_xlfn.IFS($E$6="First-Line Scenario",IFERROR(C417/C417*'Mortgage Calculator'!$G$25," "),$E$6="Recommendation",IFERROR(C417/C417*'Mortgage Calculator'!$U$28,""))</f>
        <v/>
      </c>
      <c r="F417" s="82" t="str">
        <f>IFERROR(C417/C417*H416*'Mortgage Calculator'!$C$13/12,"")</f>
        <v/>
      </c>
      <c r="G417" s="82" t="str">
        <f t="shared" si="25"/>
        <v/>
      </c>
      <c r="H417" s="100" t="str">
        <f t="shared" si="26"/>
        <v/>
      </c>
      <c r="I417" s="74"/>
      <c r="J417" s="88" t="str">
        <f t="shared" si="27"/>
        <v/>
      </c>
      <c r="K417" s="73"/>
    </row>
    <row r="418" spans="2:11" x14ac:dyDescent="0.3">
      <c r="B418" s="73"/>
      <c r="C418" s="79" t="str">
        <f t="shared" si="24"/>
        <v/>
      </c>
      <c r="D418" s="80"/>
      <c r="E418" s="81" t="str" cm="1">
        <f t="array" ref="E418">_xlfn.IFS($E$6="First-Line Scenario",IFERROR(C418/C418*'Mortgage Calculator'!$G$25," "),$E$6="Recommendation",IFERROR(C418/C418*'Mortgage Calculator'!$U$28,""))</f>
        <v/>
      </c>
      <c r="F418" s="82" t="str">
        <f>IFERROR(C418/C418*H417*'Mortgage Calculator'!$C$13/12,"")</f>
        <v/>
      </c>
      <c r="G418" s="82" t="str">
        <f t="shared" si="25"/>
        <v/>
      </c>
      <c r="H418" s="100" t="str">
        <f t="shared" si="26"/>
        <v/>
      </c>
      <c r="I418" s="74"/>
      <c r="J418" s="88" t="str">
        <f t="shared" si="27"/>
        <v/>
      </c>
      <c r="K418" s="73"/>
    </row>
    <row r="419" spans="2:11" x14ac:dyDescent="0.3">
      <c r="B419" s="73"/>
      <c r="C419" s="79" t="str">
        <f t="shared" si="24"/>
        <v/>
      </c>
      <c r="D419" s="80"/>
      <c r="E419" s="81" t="str" cm="1">
        <f t="array" ref="E419">_xlfn.IFS($E$6="First-Line Scenario",IFERROR(C419/C419*'Mortgage Calculator'!$G$25," "),$E$6="Recommendation",IFERROR(C419/C419*'Mortgage Calculator'!$U$28,""))</f>
        <v/>
      </c>
      <c r="F419" s="82" t="str">
        <f>IFERROR(C419/C419*H418*'Mortgage Calculator'!$C$13/12,"")</f>
        <v/>
      </c>
      <c r="G419" s="82" t="str">
        <f t="shared" si="25"/>
        <v/>
      </c>
      <c r="H419" s="100" t="str">
        <f t="shared" si="26"/>
        <v/>
      </c>
      <c r="I419" s="74"/>
      <c r="J419" s="88" t="str">
        <f t="shared" si="27"/>
        <v/>
      </c>
      <c r="K419" s="73"/>
    </row>
    <row r="420" spans="2:11" x14ac:dyDescent="0.3">
      <c r="B420" s="73"/>
      <c r="C420" s="79" t="str">
        <f t="shared" si="24"/>
        <v/>
      </c>
      <c r="D420" s="80"/>
      <c r="E420" s="81" t="str" cm="1">
        <f t="array" ref="E420">_xlfn.IFS($E$6="First-Line Scenario",IFERROR(C420/C420*'Mortgage Calculator'!$G$25," "),$E$6="Recommendation",IFERROR(C420/C420*'Mortgage Calculator'!$U$28,""))</f>
        <v/>
      </c>
      <c r="F420" s="82" t="str">
        <f>IFERROR(C420/C420*H419*'Mortgage Calculator'!$C$13/12,"")</f>
        <v/>
      </c>
      <c r="G420" s="82" t="str">
        <f t="shared" si="25"/>
        <v/>
      </c>
      <c r="H420" s="100" t="str">
        <f t="shared" si="26"/>
        <v/>
      </c>
      <c r="I420" s="74"/>
      <c r="J420" s="88" t="str">
        <f t="shared" si="27"/>
        <v/>
      </c>
      <c r="K420" s="73"/>
    </row>
    <row r="421" spans="2:11" x14ac:dyDescent="0.3">
      <c r="B421" s="73"/>
      <c r="C421" s="79" t="str">
        <f t="shared" si="24"/>
        <v/>
      </c>
      <c r="D421" s="80"/>
      <c r="E421" s="81" t="str" cm="1">
        <f t="array" ref="E421">_xlfn.IFS($E$6="First-Line Scenario",IFERROR(C421/C421*'Mortgage Calculator'!$G$25," "),$E$6="Recommendation",IFERROR(C421/C421*'Mortgage Calculator'!$U$28,""))</f>
        <v/>
      </c>
      <c r="F421" s="82" t="str">
        <f>IFERROR(C421/C421*H420*'Mortgage Calculator'!$C$13/12,"")</f>
        <v/>
      </c>
      <c r="G421" s="82" t="str">
        <f t="shared" si="25"/>
        <v/>
      </c>
      <c r="H421" s="100" t="str">
        <f t="shared" si="26"/>
        <v/>
      </c>
      <c r="I421" s="74"/>
      <c r="J421" s="88" t="str">
        <f t="shared" si="27"/>
        <v/>
      </c>
      <c r="K421" s="73"/>
    </row>
    <row r="422" spans="2:11" x14ac:dyDescent="0.3">
      <c r="B422" s="73"/>
      <c r="C422" s="79" t="str">
        <f t="shared" si="24"/>
        <v/>
      </c>
      <c r="D422" s="80"/>
      <c r="E422" s="81" t="str" cm="1">
        <f t="array" ref="E422">_xlfn.IFS($E$6="First-Line Scenario",IFERROR(C422/C422*'Mortgage Calculator'!$G$25," "),$E$6="Recommendation",IFERROR(C422/C422*'Mortgage Calculator'!$U$28,""))</f>
        <v/>
      </c>
      <c r="F422" s="82" t="str">
        <f>IFERROR(C422/C422*H421*'Mortgage Calculator'!$C$13/12,"")</f>
        <v/>
      </c>
      <c r="G422" s="82" t="str">
        <f t="shared" si="25"/>
        <v/>
      </c>
      <c r="H422" s="100" t="str">
        <f t="shared" si="26"/>
        <v/>
      </c>
      <c r="I422" s="74"/>
      <c r="J422" s="88" t="str">
        <f t="shared" si="27"/>
        <v/>
      </c>
      <c r="K422" s="73"/>
    </row>
    <row r="423" spans="2:11" x14ac:dyDescent="0.3">
      <c r="B423" s="73"/>
      <c r="C423" s="79" t="str">
        <f t="shared" si="24"/>
        <v/>
      </c>
      <c r="D423" s="80"/>
      <c r="E423" s="81" t="str" cm="1">
        <f t="array" ref="E423">_xlfn.IFS($E$6="First-Line Scenario",IFERROR(C423/C423*'Mortgage Calculator'!$G$25," "),$E$6="Recommendation",IFERROR(C423/C423*'Mortgage Calculator'!$U$28,""))</f>
        <v/>
      </c>
      <c r="F423" s="82" t="str">
        <f>IFERROR(C423/C423*H422*'Mortgage Calculator'!$C$13/12,"")</f>
        <v/>
      </c>
      <c r="G423" s="82" t="str">
        <f t="shared" si="25"/>
        <v/>
      </c>
      <c r="H423" s="100" t="str">
        <f t="shared" si="26"/>
        <v/>
      </c>
      <c r="I423" s="74"/>
      <c r="J423" s="88" t="str">
        <f t="shared" si="27"/>
        <v/>
      </c>
      <c r="K423" s="73"/>
    </row>
    <row r="424" spans="2:11" x14ac:dyDescent="0.3">
      <c r="B424" s="73"/>
      <c r="C424" s="79" t="str">
        <f t="shared" si="24"/>
        <v/>
      </c>
      <c r="D424" s="80"/>
      <c r="E424" s="81" t="str" cm="1">
        <f t="array" ref="E424">_xlfn.IFS($E$6="First-Line Scenario",IFERROR(C424/C424*'Mortgage Calculator'!$G$25," "),$E$6="Recommendation",IFERROR(C424/C424*'Mortgage Calculator'!$U$28,""))</f>
        <v/>
      </c>
      <c r="F424" s="82" t="str">
        <f>IFERROR(C424/C424*H423*'Mortgage Calculator'!$C$13/12,"")</f>
        <v/>
      </c>
      <c r="G424" s="82" t="str">
        <f t="shared" si="25"/>
        <v/>
      </c>
      <c r="H424" s="100" t="str">
        <f t="shared" si="26"/>
        <v/>
      </c>
      <c r="I424" s="74"/>
      <c r="J424" s="88" t="str">
        <f t="shared" si="27"/>
        <v/>
      </c>
      <c r="K424" s="73"/>
    </row>
    <row r="425" spans="2:11" x14ac:dyDescent="0.3">
      <c r="B425" s="73"/>
      <c r="C425" s="79" t="str">
        <f t="shared" si="24"/>
        <v/>
      </c>
      <c r="D425" s="80"/>
      <c r="E425" s="81" t="str" cm="1">
        <f t="array" ref="E425">_xlfn.IFS($E$6="First-Line Scenario",IFERROR(C425/C425*'Mortgage Calculator'!$G$25," "),$E$6="Recommendation",IFERROR(C425/C425*'Mortgage Calculator'!$U$28,""))</f>
        <v/>
      </c>
      <c r="F425" s="82" t="str">
        <f>IFERROR(C425/C425*H424*'Mortgage Calculator'!$C$13/12,"")</f>
        <v/>
      </c>
      <c r="G425" s="82" t="str">
        <f t="shared" si="25"/>
        <v/>
      </c>
      <c r="H425" s="100" t="str">
        <f t="shared" si="26"/>
        <v/>
      </c>
      <c r="I425" s="74"/>
      <c r="J425" s="88" t="str">
        <f t="shared" si="27"/>
        <v/>
      </c>
      <c r="K425" s="73"/>
    </row>
    <row r="426" spans="2:11" x14ac:dyDescent="0.3">
      <c r="B426" s="73"/>
      <c r="C426" s="79" t="str">
        <f t="shared" si="24"/>
        <v/>
      </c>
      <c r="D426" s="80"/>
      <c r="E426" s="81" t="str" cm="1">
        <f t="array" ref="E426">_xlfn.IFS($E$6="First-Line Scenario",IFERROR(C426/C426*'Mortgage Calculator'!$G$25," "),$E$6="Recommendation",IFERROR(C426/C426*'Mortgage Calculator'!$U$28,""))</f>
        <v/>
      </c>
      <c r="F426" s="82" t="str">
        <f>IFERROR(C426/C426*H425*'Mortgage Calculator'!$C$13/12,"")</f>
        <v/>
      </c>
      <c r="G426" s="82" t="str">
        <f t="shared" si="25"/>
        <v/>
      </c>
      <c r="H426" s="100" t="str">
        <f t="shared" si="26"/>
        <v/>
      </c>
      <c r="I426" s="74"/>
      <c r="J426" s="88" t="str">
        <f t="shared" si="27"/>
        <v/>
      </c>
      <c r="K426" s="73"/>
    </row>
    <row r="427" spans="2:11" x14ac:dyDescent="0.3">
      <c r="B427" s="73"/>
      <c r="C427" s="79" t="str">
        <f t="shared" si="24"/>
        <v/>
      </c>
      <c r="D427" s="80"/>
      <c r="E427" s="81" t="str" cm="1">
        <f t="array" ref="E427">_xlfn.IFS($E$6="First-Line Scenario",IFERROR(C427/C427*'Mortgage Calculator'!$G$25," "),$E$6="Recommendation",IFERROR(C427/C427*'Mortgage Calculator'!$U$28,""))</f>
        <v/>
      </c>
      <c r="F427" s="82" t="str">
        <f>IFERROR(C427/C427*H426*'Mortgage Calculator'!$C$13/12,"")</f>
        <v/>
      </c>
      <c r="G427" s="82" t="str">
        <f t="shared" si="25"/>
        <v/>
      </c>
      <c r="H427" s="100" t="str">
        <f t="shared" si="26"/>
        <v/>
      </c>
      <c r="I427" s="74"/>
      <c r="J427" s="88" t="str">
        <f t="shared" si="27"/>
        <v/>
      </c>
      <c r="K427" s="73"/>
    </row>
    <row r="428" spans="2:11" x14ac:dyDescent="0.3">
      <c r="B428" s="73"/>
      <c r="C428" s="79" t="str">
        <f t="shared" si="24"/>
        <v/>
      </c>
      <c r="D428" s="80"/>
      <c r="E428" s="81" t="str" cm="1">
        <f t="array" ref="E428">_xlfn.IFS($E$6="First-Line Scenario",IFERROR(C428/C428*'Mortgage Calculator'!$G$25," "),$E$6="Recommendation",IFERROR(C428/C428*'Mortgage Calculator'!$U$28,""))</f>
        <v/>
      </c>
      <c r="F428" s="82" t="str">
        <f>IFERROR(C428/C428*H427*'Mortgage Calculator'!$C$13/12,"")</f>
        <v/>
      </c>
      <c r="G428" s="82" t="str">
        <f t="shared" si="25"/>
        <v/>
      </c>
      <c r="H428" s="100" t="str">
        <f t="shared" si="26"/>
        <v/>
      </c>
      <c r="I428" s="74"/>
      <c r="J428" s="88" t="str">
        <f t="shared" si="27"/>
        <v/>
      </c>
      <c r="K428" s="73"/>
    </row>
    <row r="429" spans="2:11" x14ac:dyDescent="0.3">
      <c r="B429" s="73"/>
      <c r="C429" s="79" t="str">
        <f t="shared" si="24"/>
        <v/>
      </c>
      <c r="D429" s="80"/>
      <c r="E429" s="81" t="str" cm="1">
        <f t="array" ref="E429">_xlfn.IFS($E$6="First-Line Scenario",IFERROR(C429/C429*'Mortgage Calculator'!$G$25," "),$E$6="Recommendation",IFERROR(C429/C429*'Mortgage Calculator'!$U$28,""))</f>
        <v/>
      </c>
      <c r="F429" s="82" t="str">
        <f>IFERROR(C429/C429*H428*'Mortgage Calculator'!$C$13/12,"")</f>
        <v/>
      </c>
      <c r="G429" s="82" t="str">
        <f t="shared" si="25"/>
        <v/>
      </c>
      <c r="H429" s="100" t="str">
        <f t="shared" si="26"/>
        <v/>
      </c>
      <c r="I429" s="74"/>
      <c r="J429" s="88" t="str">
        <f t="shared" si="27"/>
        <v/>
      </c>
      <c r="K429" s="73"/>
    </row>
    <row r="430" spans="2:11" x14ac:dyDescent="0.3">
      <c r="B430" s="73"/>
      <c r="C430" s="79" t="str">
        <f t="shared" si="24"/>
        <v/>
      </c>
      <c r="D430" s="80"/>
      <c r="E430" s="81" t="str" cm="1">
        <f t="array" ref="E430">_xlfn.IFS($E$6="First-Line Scenario",IFERROR(C430/C430*'Mortgage Calculator'!$G$25," "),$E$6="Recommendation",IFERROR(C430/C430*'Mortgage Calculator'!$U$28,""))</f>
        <v/>
      </c>
      <c r="F430" s="82" t="str">
        <f>IFERROR(C430/C430*H429*'Mortgage Calculator'!$C$13/12,"")</f>
        <v/>
      </c>
      <c r="G430" s="82" t="str">
        <f t="shared" si="25"/>
        <v/>
      </c>
      <c r="H430" s="100" t="str">
        <f t="shared" si="26"/>
        <v/>
      </c>
      <c r="I430" s="74"/>
      <c r="J430" s="88" t="str">
        <f t="shared" si="27"/>
        <v/>
      </c>
      <c r="K430" s="73"/>
    </row>
    <row r="431" spans="2:11" ht="15" thickBot="1" x14ac:dyDescent="0.35">
      <c r="B431" s="73"/>
      <c r="C431" s="84" t="str">
        <f>IF(D431="","",ROW()-11)</f>
        <v/>
      </c>
      <c r="D431" s="95"/>
      <c r="E431" s="85" t="str" cm="1">
        <f t="array" ref="E431">_xlfn.IFS($E$6="First-Line Scenario",IFERROR(C431/C431*'Mortgage Calculator'!$G$25," "),$E$6="Recommendation",IFERROR(C431/C431*'Mortgage Calculator'!$U$28,""))</f>
        <v/>
      </c>
      <c r="F431" s="86" t="str">
        <f>IFERROR(C431/C431*H430*'Mortgage Calculator'!$C$13/12,"")</f>
        <v/>
      </c>
      <c r="G431" s="86" t="str">
        <f t="shared" si="25"/>
        <v/>
      </c>
      <c r="H431" s="101" t="str">
        <f t="shared" si="26"/>
        <v/>
      </c>
      <c r="I431" s="74"/>
      <c r="J431" s="89" t="str">
        <f t="shared" si="27"/>
        <v/>
      </c>
      <c r="K431" s="73"/>
    </row>
    <row r="432" spans="2:11" x14ac:dyDescent="0.3">
      <c r="B432" s="73"/>
      <c r="C432" s="73"/>
      <c r="D432" s="73"/>
      <c r="E432" s="73"/>
      <c r="F432" s="73"/>
      <c r="G432" s="73"/>
      <c r="H432" s="73"/>
      <c r="I432" s="73"/>
      <c r="J432" s="73"/>
      <c r="K432" s="73"/>
    </row>
    <row r="433" spans="2:11" x14ac:dyDescent="0.3">
      <c r="B433" s="73"/>
      <c r="C433" s="73"/>
      <c r="D433" s="73"/>
      <c r="E433" s="73"/>
      <c r="F433" s="73"/>
      <c r="G433" s="73"/>
      <c r="H433" s="73"/>
      <c r="I433" s="73"/>
      <c r="J433" s="73"/>
      <c r="K433" s="73"/>
    </row>
  </sheetData>
  <mergeCells count="1">
    <mergeCell ref="E6:G6"/>
  </mergeCells>
  <dataValidations count="1">
    <dataValidation type="list" allowBlank="1" showInputMessage="1" showErrorMessage="1" promptTitle="Mortgage Scenario" prompt="Select a scenario from the drop down list" sqref="E6:G6" xr:uid="{2F80F8EC-76D2-498C-B298-57C583125E67}">
      <formula1>"First-Line Scenario, Recommendation"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3" name="Button 7">
              <controlPr defaultSize="0" print="0" autoFill="0" autoPict="0" macro="[1]!Goto_Input">
                <anchor moveWithCells="1" sizeWithCells="1">
                  <from>
                    <xdr:col>2</xdr:col>
                    <xdr:colOff>22860</xdr:colOff>
                    <xdr:row>3</xdr:row>
                    <xdr:rowOff>53340</xdr:rowOff>
                  </from>
                  <to>
                    <xdr:col>3</xdr:col>
                    <xdr:colOff>533400</xdr:colOff>
                    <xdr:row>3</xdr:row>
                    <xdr:rowOff>411480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4" name="Button 8">
              <controlPr defaultSize="0" print="0" autoFill="0" autoPict="0" macro="[1]!Back">
                <anchor moveWithCells="1" sizeWithCells="1">
                  <from>
                    <xdr:col>9</xdr:col>
                    <xdr:colOff>236220</xdr:colOff>
                    <xdr:row>3</xdr:row>
                    <xdr:rowOff>76200</xdr:rowOff>
                  </from>
                  <to>
                    <xdr:col>9</xdr:col>
                    <xdr:colOff>952500</xdr:colOff>
                    <xdr:row>3</xdr:row>
                    <xdr:rowOff>396240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62B85-A071-417B-87A9-662E1F985479}">
  <sheetPr codeName="Sheet4"/>
  <dimension ref="C8:S429"/>
  <sheetViews>
    <sheetView topLeftCell="D1" workbookViewId="0">
      <selection activeCell="O14" sqref="O14"/>
    </sheetView>
  </sheetViews>
  <sheetFormatPr defaultRowHeight="14.4" x14ac:dyDescent="0.3"/>
  <cols>
    <col min="1" max="4" width="8.88671875" style="1"/>
    <col min="5" max="5" width="9" style="1" bestFit="1" customWidth="1"/>
    <col min="6" max="6" width="12.88671875" style="1" bestFit="1" customWidth="1"/>
    <col min="7" max="7" width="16.21875" style="1" bestFit="1" customWidth="1"/>
    <col min="8" max="8" width="16.21875" style="1" customWidth="1"/>
    <col min="9" max="9" width="21.5546875" style="69" bestFit="1" customWidth="1"/>
    <col min="10" max="13" width="8.88671875" style="1"/>
    <col min="14" max="14" width="10" style="1" bestFit="1" customWidth="1"/>
    <col min="15" max="15" width="10.44140625" style="1" bestFit="1" customWidth="1"/>
    <col min="16" max="16" width="14.109375" style="1" bestFit="1" customWidth="1"/>
    <col min="17" max="17" width="10.6640625" style="1" bestFit="1" customWidth="1"/>
    <col min="18" max="18" width="13.109375" style="1" bestFit="1" customWidth="1"/>
    <col min="19" max="19" width="12.77734375" style="1" bestFit="1" customWidth="1"/>
    <col min="20" max="16384" width="8.88671875" style="1"/>
  </cols>
  <sheetData>
    <row r="8" spans="3:18" ht="57.6" x14ac:dyDescent="0.3">
      <c r="C8" s="1" t="s">
        <v>46</v>
      </c>
      <c r="D8" s="1" t="s">
        <v>36</v>
      </c>
      <c r="E8" s="1" t="s">
        <v>37</v>
      </c>
      <c r="F8" s="2" t="s">
        <v>44</v>
      </c>
      <c r="G8" s="1" t="s">
        <v>45</v>
      </c>
      <c r="H8" s="1" t="s">
        <v>47</v>
      </c>
      <c r="I8" s="69" t="s">
        <v>41</v>
      </c>
      <c r="M8" s="102" t="s">
        <v>36</v>
      </c>
      <c r="N8" s="102" t="s">
        <v>37</v>
      </c>
      <c r="O8" s="103" t="s">
        <v>38</v>
      </c>
      <c r="P8" s="102" t="s">
        <v>40</v>
      </c>
      <c r="Q8" s="103" t="s">
        <v>39</v>
      </c>
      <c r="R8" s="103" t="s">
        <v>41</v>
      </c>
    </row>
    <row r="9" spans="3:18" x14ac:dyDescent="0.3">
      <c r="D9" s="1" t="str">
        <f ca="1">IF(E9="","",ROW()-9)</f>
        <v/>
      </c>
      <c r="E9" s="1" t="str" cm="1">
        <f t="array" aca="1" ref="E9" ca="1">IF('Mortgage Calculator'!$U$26="","",TEXT(DATE(YEAR(TODAY()),_xlfn.SEQUENCE(no_of_periods+1),28),"mmm-yyyy"))</f>
        <v/>
      </c>
      <c r="F9" s="1">
        <v>0</v>
      </c>
      <c r="G9" s="1">
        <v>0</v>
      </c>
      <c r="H9" s="1">
        <v>0</v>
      </c>
      <c r="I9" s="69">
        <v>0</v>
      </c>
      <c r="M9" s="83" t="str">
        <f ca="1">IF(N9="","",ROW()-9)</f>
        <v/>
      </c>
      <c r="N9" s="83" t="str" cm="1">
        <f t="array" aca="1" ref="N9" ca="1">IF('Mortgage Calculator'!$U$26="","",TEXT(DATE(YEAR(TODAY()),_xlfn.SEQUENCE(no_of_periods+1),28),"mmm-yyyy"))</f>
        <v/>
      </c>
      <c r="O9" s="104">
        <v>0</v>
      </c>
      <c r="P9" s="104">
        <v>0</v>
      </c>
      <c r="Q9" s="104">
        <v>0</v>
      </c>
      <c r="R9" s="105" t="str">
        <f>'Mortgage Calculator'!$U$27</f>
        <v/>
      </c>
    </row>
    <row r="10" spans="3:18" x14ac:dyDescent="0.3">
      <c r="C10" s="1" t="e">
        <f>ROUNDUP(D10/12,0)</f>
        <v>#VALUE!</v>
      </c>
      <c r="D10" s="1" t="str">
        <f t="shared" ref="D10:D73" si="0">IF(E10="","",ROW()-9)</f>
        <v/>
      </c>
      <c r="F10" s="52" t="e">
        <f>'Mortgage Calculator'!$G$9*((1+'Mortgage Calculator'!$P$8)^(MISC!C10-1))</f>
        <v>#VALUE!</v>
      </c>
      <c r="G10" s="70" t="e">
        <f>'Mortgage Calculator'!$U$25*((1+'Mortgage Calculator'!$S$10)^(MISC!C10-1))</f>
        <v>#VALUE!</v>
      </c>
      <c r="H10" s="52" t="e">
        <f>F10-G10</f>
        <v>#VALUE!</v>
      </c>
      <c r="I10" s="69" t="e">
        <f>H10*(1+('Mortgage Calculator'!$S$12/12))</f>
        <v>#VALUE!</v>
      </c>
      <c r="M10" s="83" t="str">
        <f>IF(N10="","",ROW()-9)</f>
        <v/>
      </c>
      <c r="N10" s="83"/>
      <c r="O10" s="105" t="str">
        <f>IFERROR(M10/M10*'Mortgage Calculator'!$U$28,"")</f>
        <v/>
      </c>
      <c r="P10" s="105" t="str">
        <f>IFERROR(M10/M10*R9*'Mortgage Calculator'!$C$13/12,"")</f>
        <v/>
      </c>
      <c r="Q10" s="105" t="str">
        <f>IFERROR(O10-P10,"")</f>
        <v/>
      </c>
      <c r="R10" s="105" t="str">
        <f>IFERROR(R9-Q10,"")</f>
        <v/>
      </c>
    </row>
    <row r="11" spans="3:18" x14ac:dyDescent="0.3">
      <c r="C11" s="1" t="e">
        <f t="shared" ref="C11:C74" si="1">ROUNDUP(D11/12,0)</f>
        <v>#VALUE!</v>
      </c>
      <c r="D11" s="1" t="str">
        <f t="shared" si="0"/>
        <v/>
      </c>
      <c r="F11" s="52" t="e">
        <f>'Mortgage Calculator'!$G$9*((1+'Mortgage Calculator'!$P$8)^(MISC!C11-1))</f>
        <v>#VALUE!</v>
      </c>
      <c r="G11" s="70" t="e">
        <f>'Mortgage Calculator'!$U$25*((1+'Mortgage Calculator'!$S$10)^(MISC!C11-1))</f>
        <v>#VALUE!</v>
      </c>
      <c r="H11" s="52" t="e">
        <f t="shared" ref="H11:H74" si="2">F11-G11</f>
        <v>#VALUE!</v>
      </c>
      <c r="I11" s="69" t="str">
        <f>IFERROR(IF((H11+I10)*(1+('Mortgage Calculator'!$S$12/12))&gt;R11,"stop",(H11+I10)*(1+('Mortgage Calculator'!$S$12/12))),"")</f>
        <v/>
      </c>
      <c r="M11" s="83" t="str">
        <f t="shared" ref="M11:M74" si="3">IF(N11="","",ROW()-9)</f>
        <v/>
      </c>
      <c r="N11" s="83"/>
      <c r="O11" s="105" t="str">
        <f>IFERROR(M11/M11*'Mortgage Calculator'!$U$28,"")</f>
        <v/>
      </c>
      <c r="P11" s="105" t="str">
        <f>IFERROR(M11/M11*R10*'Mortgage Calculator'!$C$13/12,"")</f>
        <v/>
      </c>
      <c r="Q11" s="105" t="str">
        <f t="shared" ref="Q11:Q74" si="4">IFERROR(O11-P11,"")</f>
        <v/>
      </c>
      <c r="R11" s="105" t="str">
        <f t="shared" ref="R11:R74" si="5">IFERROR(R10-Q11,"")</f>
        <v/>
      </c>
    </row>
    <row r="12" spans="3:18" x14ac:dyDescent="0.3">
      <c r="C12" s="1" t="e">
        <f t="shared" si="1"/>
        <v>#VALUE!</v>
      </c>
      <c r="D12" s="1" t="str">
        <f t="shared" si="0"/>
        <v/>
      </c>
      <c r="F12" s="52" t="e">
        <f>'Mortgage Calculator'!$G$9*((1+'Mortgage Calculator'!$P$8)^(MISC!C12-1))</f>
        <v>#VALUE!</v>
      </c>
      <c r="G12" s="70" t="e">
        <f>'Mortgage Calculator'!$U$25*((1+'Mortgage Calculator'!$S$10)^(MISC!C12-1))</f>
        <v>#VALUE!</v>
      </c>
      <c r="H12" s="52" t="e">
        <f t="shared" si="2"/>
        <v>#VALUE!</v>
      </c>
      <c r="I12" s="69" t="str">
        <f>IFERROR(IF((H12+I11)*(1+('Mortgage Calculator'!$S$12/12))&gt;R12,"stop",(H12+I11)*(1+('Mortgage Calculator'!$S$12/12))),"")</f>
        <v/>
      </c>
      <c r="M12" s="83" t="str">
        <f t="shared" si="3"/>
        <v/>
      </c>
      <c r="N12" s="83"/>
      <c r="O12" s="105" t="str">
        <f>IFERROR(M12/M12*'Mortgage Calculator'!$U$28,"")</f>
        <v/>
      </c>
      <c r="P12" s="105" t="str">
        <f>IFERROR(M12/M12*R11*'Mortgage Calculator'!$C$13/12,"")</f>
        <v/>
      </c>
      <c r="Q12" s="105" t="str">
        <f t="shared" si="4"/>
        <v/>
      </c>
      <c r="R12" s="105" t="str">
        <f t="shared" si="5"/>
        <v/>
      </c>
    </row>
    <row r="13" spans="3:18" x14ac:dyDescent="0.3">
      <c r="C13" s="1" t="e">
        <f t="shared" si="1"/>
        <v>#VALUE!</v>
      </c>
      <c r="D13" s="1" t="str">
        <f t="shared" si="0"/>
        <v/>
      </c>
      <c r="F13" s="52" t="e">
        <f>'Mortgage Calculator'!$G$9*((1+'Mortgage Calculator'!$P$8)^(MISC!C13-1))</f>
        <v>#VALUE!</v>
      </c>
      <c r="G13" s="70" t="e">
        <f>'Mortgage Calculator'!$U$25*((1+'Mortgage Calculator'!$S$10)^(MISC!C13-1))</f>
        <v>#VALUE!</v>
      </c>
      <c r="H13" s="52" t="e">
        <f t="shared" si="2"/>
        <v>#VALUE!</v>
      </c>
      <c r="I13" s="69" t="str">
        <f>IFERROR(IF((H13+I12)*(1+('Mortgage Calculator'!$S$12/12))&gt;R13,"stop",(H13+I12)*(1+('Mortgage Calculator'!$S$12/12))),"")</f>
        <v/>
      </c>
      <c r="M13" s="83" t="str">
        <f t="shared" si="3"/>
        <v/>
      </c>
      <c r="N13" s="83"/>
      <c r="O13" s="105" t="str">
        <f>IFERROR(M13/M13*'Mortgage Calculator'!$U$28,"")</f>
        <v/>
      </c>
      <c r="P13" s="105" t="str">
        <f>IFERROR(M13/M13*R12*'Mortgage Calculator'!$C$13/12,"")</f>
        <v/>
      </c>
      <c r="Q13" s="105" t="str">
        <f t="shared" si="4"/>
        <v/>
      </c>
      <c r="R13" s="105" t="str">
        <f t="shared" si="5"/>
        <v/>
      </c>
    </row>
    <row r="14" spans="3:18" x14ac:dyDescent="0.3">
      <c r="C14" s="1" t="e">
        <f t="shared" si="1"/>
        <v>#VALUE!</v>
      </c>
      <c r="D14" s="1" t="str">
        <f t="shared" si="0"/>
        <v/>
      </c>
      <c r="F14" s="52" t="e">
        <f>'Mortgage Calculator'!$G$9*((1+'Mortgage Calculator'!$P$8)^(MISC!C14-1))</f>
        <v>#VALUE!</v>
      </c>
      <c r="G14" s="70" t="e">
        <f>'Mortgage Calculator'!$U$25*((1+'Mortgage Calculator'!$S$10)^(MISC!C14-1))</f>
        <v>#VALUE!</v>
      </c>
      <c r="H14" s="52" t="e">
        <f t="shared" si="2"/>
        <v>#VALUE!</v>
      </c>
      <c r="I14" s="69" t="str">
        <f>IFERROR(IF((H14+I13)*(1+('Mortgage Calculator'!$S$12/12))&gt;R14,"stop",(H14+I13)*(1+('Mortgage Calculator'!$S$12/12))),"")</f>
        <v/>
      </c>
      <c r="M14" s="83" t="str">
        <f t="shared" si="3"/>
        <v/>
      </c>
      <c r="N14" s="83"/>
      <c r="O14" s="105" t="str">
        <f>IFERROR(M14/M14*'Mortgage Calculator'!$U$28,"")</f>
        <v/>
      </c>
      <c r="P14" s="105" t="str">
        <f>IFERROR(M14/M14*R13*'Mortgage Calculator'!$C$13/12,"")</f>
        <v/>
      </c>
      <c r="Q14" s="105" t="str">
        <f t="shared" si="4"/>
        <v/>
      </c>
      <c r="R14" s="105" t="str">
        <f t="shared" si="5"/>
        <v/>
      </c>
    </row>
    <row r="15" spans="3:18" x14ac:dyDescent="0.3">
      <c r="C15" s="1" t="e">
        <f t="shared" si="1"/>
        <v>#VALUE!</v>
      </c>
      <c r="D15" s="1" t="str">
        <f t="shared" si="0"/>
        <v/>
      </c>
      <c r="F15" s="52" t="e">
        <f>'Mortgage Calculator'!$G$9*((1+'Mortgage Calculator'!$P$8)^(MISC!C15-1))</f>
        <v>#VALUE!</v>
      </c>
      <c r="G15" s="70" t="e">
        <f>'Mortgage Calculator'!$U$25*((1+'Mortgage Calculator'!$S$10)^(MISC!C15-1))</f>
        <v>#VALUE!</v>
      </c>
      <c r="H15" s="52" t="e">
        <f t="shared" si="2"/>
        <v>#VALUE!</v>
      </c>
      <c r="I15" s="69" t="str">
        <f>IFERROR(IF((H15+I14)*(1+('Mortgage Calculator'!$S$12/12))&gt;R15,"stop",(H15+I14)*(1+('Mortgage Calculator'!$S$12/12))),"")</f>
        <v/>
      </c>
      <c r="M15" s="83" t="str">
        <f t="shared" si="3"/>
        <v/>
      </c>
      <c r="N15" s="83"/>
      <c r="O15" s="105" t="str">
        <f>IFERROR(M15/M15*'Mortgage Calculator'!$U$28,"")</f>
        <v/>
      </c>
      <c r="P15" s="105" t="str">
        <f>IFERROR(M15/M15*R14*'Mortgage Calculator'!$C$13/12,"")</f>
        <v/>
      </c>
      <c r="Q15" s="105" t="str">
        <f t="shared" si="4"/>
        <v/>
      </c>
      <c r="R15" s="105" t="str">
        <f t="shared" si="5"/>
        <v/>
      </c>
    </row>
    <row r="16" spans="3:18" x14ac:dyDescent="0.3">
      <c r="C16" s="1" t="e">
        <f t="shared" si="1"/>
        <v>#VALUE!</v>
      </c>
      <c r="D16" s="1" t="str">
        <f t="shared" si="0"/>
        <v/>
      </c>
      <c r="F16" s="52" t="e">
        <f>'Mortgage Calculator'!$G$9*((1+'Mortgage Calculator'!$P$8)^(MISC!C16-1))</f>
        <v>#VALUE!</v>
      </c>
      <c r="G16" s="70" t="e">
        <f>'Mortgage Calculator'!$U$25*((1+'Mortgage Calculator'!$S$10)^(MISC!C16-1))</f>
        <v>#VALUE!</v>
      </c>
      <c r="H16" s="52" t="e">
        <f t="shared" si="2"/>
        <v>#VALUE!</v>
      </c>
      <c r="I16" s="69" t="str">
        <f>IFERROR(IF((H16+I15)*(1+('Mortgage Calculator'!$S$12/12))&gt;R16,"stop",(H16+I15)*(1+('Mortgage Calculator'!$S$12/12))),"")</f>
        <v/>
      </c>
      <c r="M16" s="83" t="str">
        <f t="shared" si="3"/>
        <v/>
      </c>
      <c r="N16" s="83"/>
      <c r="O16" s="105" t="str">
        <f>IFERROR(M16/M16*'Mortgage Calculator'!$U$28,"")</f>
        <v/>
      </c>
      <c r="P16" s="105" t="str">
        <f>IFERROR(M16/M16*R15*'Mortgage Calculator'!$C$13/12,"")</f>
        <v/>
      </c>
      <c r="Q16" s="105" t="str">
        <f t="shared" si="4"/>
        <v/>
      </c>
      <c r="R16" s="105" t="str">
        <f t="shared" si="5"/>
        <v/>
      </c>
    </row>
    <row r="17" spans="3:18" x14ac:dyDescent="0.3">
      <c r="C17" s="1" t="e">
        <f t="shared" si="1"/>
        <v>#VALUE!</v>
      </c>
      <c r="D17" s="1" t="str">
        <f t="shared" si="0"/>
        <v/>
      </c>
      <c r="F17" s="52" t="e">
        <f>'Mortgage Calculator'!$G$9*((1+'Mortgage Calculator'!$P$8)^(MISC!C17-1))</f>
        <v>#VALUE!</v>
      </c>
      <c r="G17" s="70" t="e">
        <f>'Mortgage Calculator'!$U$25*((1+'Mortgage Calculator'!$S$10)^(MISC!C17-1))</f>
        <v>#VALUE!</v>
      </c>
      <c r="H17" s="52" t="e">
        <f t="shared" si="2"/>
        <v>#VALUE!</v>
      </c>
      <c r="I17" s="69" t="str">
        <f>IFERROR(IF((H17+I16)*(1+('Mortgage Calculator'!$S$12/12))&gt;R17,"stop",(H17+I16)*(1+('Mortgage Calculator'!$S$12/12))),"")</f>
        <v/>
      </c>
      <c r="M17" s="83" t="str">
        <f t="shared" si="3"/>
        <v/>
      </c>
      <c r="N17" s="83"/>
      <c r="O17" s="105" t="str">
        <f>IFERROR(M17/M17*'Mortgage Calculator'!$U$28,"")</f>
        <v/>
      </c>
      <c r="P17" s="105" t="str">
        <f>IFERROR(M17/M17*R16*'Mortgage Calculator'!$C$13/12,"")</f>
        <v/>
      </c>
      <c r="Q17" s="105" t="str">
        <f t="shared" si="4"/>
        <v/>
      </c>
      <c r="R17" s="105" t="str">
        <f t="shared" si="5"/>
        <v/>
      </c>
    </row>
    <row r="18" spans="3:18" x14ac:dyDescent="0.3">
      <c r="C18" s="1" t="e">
        <f t="shared" si="1"/>
        <v>#VALUE!</v>
      </c>
      <c r="D18" s="1" t="str">
        <f t="shared" si="0"/>
        <v/>
      </c>
      <c r="F18" s="52" t="e">
        <f>'Mortgage Calculator'!$G$9*((1+'Mortgage Calculator'!$P$8)^(MISC!C18-1))</f>
        <v>#VALUE!</v>
      </c>
      <c r="G18" s="70" t="e">
        <f>'Mortgage Calculator'!$U$25*((1+'Mortgage Calculator'!$S$10)^(MISC!C18-1))</f>
        <v>#VALUE!</v>
      </c>
      <c r="H18" s="52" t="e">
        <f t="shared" si="2"/>
        <v>#VALUE!</v>
      </c>
      <c r="I18" s="69" t="str">
        <f>IFERROR(IF((H18+I17)*(1+('Mortgage Calculator'!$S$12/12))&gt;R18,"stop",(H18+I17)*(1+('Mortgage Calculator'!$S$12/12))),"")</f>
        <v/>
      </c>
      <c r="M18" s="83" t="str">
        <f t="shared" si="3"/>
        <v/>
      </c>
      <c r="N18" s="83"/>
      <c r="O18" s="105" t="str">
        <f>IFERROR(M18/M18*'Mortgage Calculator'!$U$28,"")</f>
        <v/>
      </c>
      <c r="P18" s="105" t="str">
        <f>IFERROR(M18/M18*R17*'Mortgage Calculator'!$C$13/12,"")</f>
        <v/>
      </c>
      <c r="Q18" s="105" t="str">
        <f t="shared" si="4"/>
        <v/>
      </c>
      <c r="R18" s="105" t="str">
        <f t="shared" si="5"/>
        <v/>
      </c>
    </row>
    <row r="19" spans="3:18" x14ac:dyDescent="0.3">
      <c r="C19" s="1" t="e">
        <f t="shared" si="1"/>
        <v>#VALUE!</v>
      </c>
      <c r="D19" s="1" t="str">
        <f t="shared" si="0"/>
        <v/>
      </c>
      <c r="F19" s="52" t="e">
        <f>'Mortgage Calculator'!$G$9*((1+'Mortgage Calculator'!$P$8)^(MISC!C19-1))</f>
        <v>#VALUE!</v>
      </c>
      <c r="G19" s="70" t="e">
        <f>'Mortgage Calculator'!$U$25*((1+'Mortgage Calculator'!$S$10)^(MISC!C19-1))</f>
        <v>#VALUE!</v>
      </c>
      <c r="H19" s="52" t="e">
        <f t="shared" si="2"/>
        <v>#VALUE!</v>
      </c>
      <c r="I19" s="69" t="str">
        <f>IFERROR(IF((H19+I18)*(1+('Mortgage Calculator'!$S$12/12))&gt;R19,"stop",(H19+I18)*(1+('Mortgage Calculator'!$S$12/12))),"")</f>
        <v/>
      </c>
      <c r="M19" s="83" t="str">
        <f t="shared" si="3"/>
        <v/>
      </c>
      <c r="N19" s="83"/>
      <c r="O19" s="105" t="str">
        <f>IFERROR(M19/M19*'Mortgage Calculator'!$U$28,"")</f>
        <v/>
      </c>
      <c r="P19" s="105" t="str">
        <f>IFERROR(M19/M19*R18*'Mortgage Calculator'!$C$13/12,"")</f>
        <v/>
      </c>
      <c r="Q19" s="105" t="str">
        <f t="shared" si="4"/>
        <v/>
      </c>
      <c r="R19" s="105" t="str">
        <f t="shared" si="5"/>
        <v/>
      </c>
    </row>
    <row r="20" spans="3:18" x14ac:dyDescent="0.3">
      <c r="C20" s="1" t="e">
        <f t="shared" si="1"/>
        <v>#VALUE!</v>
      </c>
      <c r="D20" s="1" t="str">
        <f t="shared" si="0"/>
        <v/>
      </c>
      <c r="F20" s="52" t="e">
        <f>'Mortgage Calculator'!$G$9*((1+'Mortgage Calculator'!$P$8)^(MISC!C20-1))</f>
        <v>#VALUE!</v>
      </c>
      <c r="G20" s="70" t="e">
        <f>'Mortgage Calculator'!$U$25*((1+'Mortgage Calculator'!$S$10)^(MISC!C20-1))</f>
        <v>#VALUE!</v>
      </c>
      <c r="H20" s="52" t="e">
        <f t="shared" si="2"/>
        <v>#VALUE!</v>
      </c>
      <c r="I20" s="69" t="str">
        <f>IFERROR(IF((H20+I19)*(1+('Mortgage Calculator'!$S$12/12))&gt;R20,"stop",(H20+I19)*(1+('Mortgage Calculator'!$S$12/12))),"")</f>
        <v/>
      </c>
      <c r="M20" s="83" t="str">
        <f t="shared" si="3"/>
        <v/>
      </c>
      <c r="N20" s="83"/>
      <c r="O20" s="105" t="str">
        <f>IFERROR(M20/M20*'Mortgage Calculator'!$U$28,"")</f>
        <v/>
      </c>
      <c r="P20" s="105" t="str">
        <f>IFERROR(M20/M20*R19*'Mortgage Calculator'!$C$13/12,"")</f>
        <v/>
      </c>
      <c r="Q20" s="105" t="str">
        <f t="shared" si="4"/>
        <v/>
      </c>
      <c r="R20" s="105" t="str">
        <f t="shared" si="5"/>
        <v/>
      </c>
    </row>
    <row r="21" spans="3:18" x14ac:dyDescent="0.3">
      <c r="C21" s="1" t="e">
        <f t="shared" si="1"/>
        <v>#VALUE!</v>
      </c>
      <c r="D21" s="1" t="str">
        <f t="shared" si="0"/>
        <v/>
      </c>
      <c r="F21" s="52" t="e">
        <f>'Mortgage Calculator'!$G$9*((1+'Mortgage Calculator'!$P$8)^(MISC!C21-1))</f>
        <v>#VALUE!</v>
      </c>
      <c r="G21" s="70" t="e">
        <f>'Mortgage Calculator'!$U$25*((1+'Mortgage Calculator'!$S$10)^(MISC!C21-1))</f>
        <v>#VALUE!</v>
      </c>
      <c r="H21" s="52" t="e">
        <f t="shared" si="2"/>
        <v>#VALUE!</v>
      </c>
      <c r="I21" s="69" t="str">
        <f>IFERROR(IF((H21+I20)*(1+('Mortgage Calculator'!$S$12/12))&gt;R21,"stop",(H21+I20)*(1+('Mortgage Calculator'!$S$12/12))),"")</f>
        <v/>
      </c>
      <c r="M21" s="83" t="str">
        <f t="shared" si="3"/>
        <v/>
      </c>
      <c r="N21" s="83"/>
      <c r="O21" s="105" t="str">
        <f>IFERROR(M21/M21*'Mortgage Calculator'!$U$28,"")</f>
        <v/>
      </c>
      <c r="P21" s="105" t="str">
        <f>IFERROR(M21/M21*R20*'Mortgage Calculator'!$C$13/12,"")</f>
        <v/>
      </c>
      <c r="Q21" s="105" t="str">
        <f t="shared" si="4"/>
        <v/>
      </c>
      <c r="R21" s="105" t="str">
        <f t="shared" si="5"/>
        <v/>
      </c>
    </row>
    <row r="22" spans="3:18" x14ac:dyDescent="0.3">
      <c r="C22" s="1" t="e">
        <f t="shared" si="1"/>
        <v>#VALUE!</v>
      </c>
      <c r="D22" s="1" t="str">
        <f t="shared" si="0"/>
        <v/>
      </c>
      <c r="F22" s="52" t="e">
        <f>'Mortgage Calculator'!$G$9*((1+'Mortgage Calculator'!$P$8)^(MISC!C22-1))</f>
        <v>#VALUE!</v>
      </c>
      <c r="G22" s="70" t="e">
        <f>'Mortgage Calculator'!$U$25*((1+'Mortgage Calculator'!$S$10)^(MISC!C22-1))</f>
        <v>#VALUE!</v>
      </c>
      <c r="H22" s="52" t="e">
        <f t="shared" si="2"/>
        <v>#VALUE!</v>
      </c>
      <c r="I22" s="69" t="str">
        <f>IFERROR(IF((H22+I21)*(1+('Mortgage Calculator'!$S$12/12))&gt;R22,"stop",(H22+I21)*(1+('Mortgage Calculator'!$S$12/12))),"")</f>
        <v/>
      </c>
      <c r="M22" s="83" t="str">
        <f t="shared" si="3"/>
        <v/>
      </c>
      <c r="N22" s="83"/>
      <c r="O22" s="105" t="str">
        <f>IFERROR(M22/M22*'Mortgage Calculator'!$U$28,"")</f>
        <v/>
      </c>
      <c r="P22" s="105" t="str">
        <f>IFERROR(M22/M22*R21*'Mortgage Calculator'!$C$13/12,"")</f>
        <v/>
      </c>
      <c r="Q22" s="105" t="str">
        <f t="shared" si="4"/>
        <v/>
      </c>
      <c r="R22" s="105" t="str">
        <f t="shared" si="5"/>
        <v/>
      </c>
    </row>
    <row r="23" spans="3:18" x14ac:dyDescent="0.3">
      <c r="C23" s="1" t="e">
        <f t="shared" si="1"/>
        <v>#VALUE!</v>
      </c>
      <c r="D23" s="1" t="str">
        <f t="shared" si="0"/>
        <v/>
      </c>
      <c r="F23" s="52" t="e">
        <f>'Mortgage Calculator'!$G$9*((1+'Mortgage Calculator'!$P$8)^(MISC!C23-1))</f>
        <v>#VALUE!</v>
      </c>
      <c r="G23" s="70" t="e">
        <f>'Mortgage Calculator'!$U$25*((1+'Mortgage Calculator'!$S$10)^(MISC!C23-1))</f>
        <v>#VALUE!</v>
      </c>
      <c r="H23" s="52" t="e">
        <f t="shared" si="2"/>
        <v>#VALUE!</v>
      </c>
      <c r="I23" s="69" t="str">
        <f>IFERROR(IF((H23+I22)*(1+('Mortgage Calculator'!$S$12/12))&gt;R23,"stop",(H23+I22)*(1+('Mortgage Calculator'!$S$12/12))),"")</f>
        <v/>
      </c>
      <c r="M23" s="83" t="str">
        <f t="shared" si="3"/>
        <v/>
      </c>
      <c r="N23" s="83"/>
      <c r="O23" s="105" t="str">
        <f>IFERROR(M23/M23*'Mortgage Calculator'!$U$28,"")</f>
        <v/>
      </c>
      <c r="P23" s="105" t="str">
        <f>IFERROR(M23/M23*R22*'Mortgage Calculator'!$C$13/12,"")</f>
        <v/>
      </c>
      <c r="Q23" s="105" t="str">
        <f t="shared" si="4"/>
        <v/>
      </c>
      <c r="R23" s="105" t="str">
        <f t="shared" si="5"/>
        <v/>
      </c>
    </row>
    <row r="24" spans="3:18" x14ac:dyDescent="0.3">
      <c r="C24" s="1" t="e">
        <f t="shared" si="1"/>
        <v>#VALUE!</v>
      </c>
      <c r="D24" s="1" t="str">
        <f t="shared" si="0"/>
        <v/>
      </c>
      <c r="F24" s="52" t="e">
        <f>'Mortgage Calculator'!$G$9*((1+'Mortgage Calculator'!$P$8)^(MISC!C24-1))</f>
        <v>#VALUE!</v>
      </c>
      <c r="G24" s="70" t="e">
        <f>'Mortgage Calculator'!$U$25*((1+'Mortgage Calculator'!$S$10)^(MISC!C24-1))</f>
        <v>#VALUE!</v>
      </c>
      <c r="H24" s="52" t="e">
        <f t="shared" si="2"/>
        <v>#VALUE!</v>
      </c>
      <c r="I24" s="69" t="str">
        <f>IFERROR(IF((H24+I23)*(1+('Mortgage Calculator'!$S$12/12))&gt;R24,"stop",(H24+I23)*(1+('Mortgage Calculator'!$S$12/12))),"")</f>
        <v/>
      </c>
      <c r="M24" s="83" t="str">
        <f t="shared" si="3"/>
        <v/>
      </c>
      <c r="N24" s="83"/>
      <c r="O24" s="105" t="str">
        <f>IFERROR(M24/M24*'Mortgage Calculator'!$U$28,"")</f>
        <v/>
      </c>
      <c r="P24" s="105" t="str">
        <f>IFERROR(M24/M24*R23*'Mortgage Calculator'!$C$13/12,"")</f>
        <v/>
      </c>
      <c r="Q24" s="105" t="str">
        <f t="shared" si="4"/>
        <v/>
      </c>
      <c r="R24" s="105" t="str">
        <f t="shared" si="5"/>
        <v/>
      </c>
    </row>
    <row r="25" spans="3:18" x14ac:dyDescent="0.3">
      <c r="C25" s="1" t="e">
        <f t="shared" si="1"/>
        <v>#VALUE!</v>
      </c>
      <c r="D25" s="1" t="str">
        <f t="shared" si="0"/>
        <v/>
      </c>
      <c r="F25" s="52" t="e">
        <f>'Mortgage Calculator'!$G$9*((1+'Mortgage Calculator'!$P$8)^(MISC!C25-1))</f>
        <v>#VALUE!</v>
      </c>
      <c r="G25" s="70" t="e">
        <f>'Mortgage Calculator'!$U$25*((1+'Mortgage Calculator'!$S$10)^(MISC!C25-1))</f>
        <v>#VALUE!</v>
      </c>
      <c r="H25" s="52" t="e">
        <f t="shared" si="2"/>
        <v>#VALUE!</v>
      </c>
      <c r="I25" s="69" t="str">
        <f>IFERROR(IF((H25+I24)*(1+('Mortgage Calculator'!$S$12/12))&gt;R25,"stop",(H25+I24)*(1+('Mortgage Calculator'!$S$12/12))),"")</f>
        <v/>
      </c>
      <c r="M25" s="83" t="str">
        <f t="shared" si="3"/>
        <v/>
      </c>
      <c r="N25" s="83"/>
      <c r="O25" s="105" t="str">
        <f>IFERROR(M25/M25*'Mortgage Calculator'!$U$28,"")</f>
        <v/>
      </c>
      <c r="P25" s="105" t="str">
        <f>IFERROR(M25/M25*R24*'Mortgage Calculator'!$C$13/12,"")</f>
        <v/>
      </c>
      <c r="Q25" s="105" t="str">
        <f t="shared" si="4"/>
        <v/>
      </c>
      <c r="R25" s="105" t="str">
        <f t="shared" si="5"/>
        <v/>
      </c>
    </row>
    <row r="26" spans="3:18" x14ac:dyDescent="0.3">
      <c r="C26" s="1" t="e">
        <f t="shared" si="1"/>
        <v>#VALUE!</v>
      </c>
      <c r="D26" s="1" t="str">
        <f t="shared" si="0"/>
        <v/>
      </c>
      <c r="F26" s="52" t="e">
        <f>'Mortgage Calculator'!$G$9*((1+'Mortgage Calculator'!$P$8)^(MISC!C26-1))</f>
        <v>#VALUE!</v>
      </c>
      <c r="G26" s="70" t="e">
        <f>'Mortgage Calculator'!$U$25*((1+'Mortgage Calculator'!$S$10)^(MISC!C26-1))</f>
        <v>#VALUE!</v>
      </c>
      <c r="H26" s="52" t="e">
        <f t="shared" si="2"/>
        <v>#VALUE!</v>
      </c>
      <c r="I26" s="69" t="str">
        <f>IFERROR(IF((H26+I25)*(1+('Mortgage Calculator'!$S$12/12))&gt;R26,"stop",(H26+I25)*(1+('Mortgage Calculator'!$S$12/12))),"")</f>
        <v/>
      </c>
      <c r="M26" s="83" t="str">
        <f t="shared" si="3"/>
        <v/>
      </c>
      <c r="N26" s="83"/>
      <c r="O26" s="105" t="str">
        <f>IFERROR(M26/M26*'Mortgage Calculator'!$U$28,"")</f>
        <v/>
      </c>
      <c r="P26" s="105" t="str">
        <f>IFERROR(M26/M26*R25*'Mortgage Calculator'!$C$13/12,"")</f>
        <v/>
      </c>
      <c r="Q26" s="105" t="str">
        <f t="shared" si="4"/>
        <v/>
      </c>
      <c r="R26" s="105" t="str">
        <f t="shared" si="5"/>
        <v/>
      </c>
    </row>
    <row r="27" spans="3:18" x14ac:dyDescent="0.3">
      <c r="C27" s="1" t="e">
        <f t="shared" si="1"/>
        <v>#VALUE!</v>
      </c>
      <c r="D27" s="1" t="str">
        <f t="shared" si="0"/>
        <v/>
      </c>
      <c r="F27" s="52" t="e">
        <f>'Mortgage Calculator'!$G$9*((1+'Mortgage Calculator'!$P$8)^(MISC!C27-1))</f>
        <v>#VALUE!</v>
      </c>
      <c r="G27" s="70" t="e">
        <f>'Mortgage Calculator'!$U$25*((1+'Mortgage Calculator'!$S$10)^(MISC!C27-1))</f>
        <v>#VALUE!</v>
      </c>
      <c r="H27" s="52" t="e">
        <f t="shared" si="2"/>
        <v>#VALUE!</v>
      </c>
      <c r="I27" s="69" t="str">
        <f>IFERROR(IF((H27+I26)*(1+('Mortgage Calculator'!$S$12/12))&gt;R27,"stop",(H27+I26)*(1+('Mortgage Calculator'!$S$12/12))),"")</f>
        <v/>
      </c>
      <c r="M27" s="83" t="str">
        <f t="shared" si="3"/>
        <v/>
      </c>
      <c r="N27" s="83"/>
      <c r="O27" s="105" t="str">
        <f>IFERROR(M27/M27*'Mortgage Calculator'!$U$28,"")</f>
        <v/>
      </c>
      <c r="P27" s="105" t="str">
        <f>IFERROR(M27/M27*R26*'Mortgage Calculator'!$C$13/12,"")</f>
        <v/>
      </c>
      <c r="Q27" s="105" t="str">
        <f t="shared" si="4"/>
        <v/>
      </c>
      <c r="R27" s="105" t="str">
        <f t="shared" si="5"/>
        <v/>
      </c>
    </row>
    <row r="28" spans="3:18" x14ac:dyDescent="0.3">
      <c r="C28" s="1" t="e">
        <f t="shared" si="1"/>
        <v>#VALUE!</v>
      </c>
      <c r="D28" s="1" t="str">
        <f t="shared" si="0"/>
        <v/>
      </c>
      <c r="F28" s="52" t="e">
        <f>'Mortgage Calculator'!$G$9*((1+'Mortgage Calculator'!$P$8)^(MISC!C28-1))</f>
        <v>#VALUE!</v>
      </c>
      <c r="G28" s="70" t="e">
        <f>'Mortgage Calculator'!$U$25*((1+'Mortgage Calculator'!$S$10)^(MISC!C28-1))</f>
        <v>#VALUE!</v>
      </c>
      <c r="H28" s="52" t="e">
        <f t="shared" si="2"/>
        <v>#VALUE!</v>
      </c>
      <c r="I28" s="69" t="str">
        <f>IFERROR(IF((H28+I27)*(1+('Mortgage Calculator'!$S$12/12))&gt;R28,"stop",(H28+I27)*(1+('Mortgage Calculator'!$S$12/12))),"")</f>
        <v/>
      </c>
      <c r="M28" s="83" t="str">
        <f t="shared" si="3"/>
        <v/>
      </c>
      <c r="N28" s="83"/>
      <c r="O28" s="105" t="str">
        <f>IFERROR(M28/M28*'Mortgage Calculator'!$U$28,"")</f>
        <v/>
      </c>
      <c r="P28" s="105" t="str">
        <f>IFERROR(M28/M28*R27*'Mortgage Calculator'!$C$13/12,"")</f>
        <v/>
      </c>
      <c r="Q28" s="105" t="str">
        <f t="shared" si="4"/>
        <v/>
      </c>
      <c r="R28" s="105" t="str">
        <f t="shared" si="5"/>
        <v/>
      </c>
    </row>
    <row r="29" spans="3:18" x14ac:dyDescent="0.3">
      <c r="C29" s="1" t="e">
        <f t="shared" si="1"/>
        <v>#VALUE!</v>
      </c>
      <c r="D29" s="1" t="str">
        <f t="shared" si="0"/>
        <v/>
      </c>
      <c r="F29" s="52" t="e">
        <f>'Mortgage Calculator'!$G$9*((1+'Mortgage Calculator'!$P$8)^(MISC!C29-1))</f>
        <v>#VALUE!</v>
      </c>
      <c r="G29" s="70" t="e">
        <f>'Mortgage Calculator'!$U$25*((1+'Mortgage Calculator'!$S$10)^(MISC!C29-1))</f>
        <v>#VALUE!</v>
      </c>
      <c r="H29" s="52" t="e">
        <f t="shared" si="2"/>
        <v>#VALUE!</v>
      </c>
      <c r="I29" s="69" t="str">
        <f>IFERROR(IF((H29+I28)*(1+('Mortgage Calculator'!$S$12/12))&gt;R29,"stop",(H29+I28)*(1+('Mortgage Calculator'!$S$12/12))),"")</f>
        <v/>
      </c>
      <c r="M29" s="83" t="str">
        <f t="shared" si="3"/>
        <v/>
      </c>
      <c r="N29" s="83"/>
      <c r="O29" s="105" t="str">
        <f>IFERROR(M29/M29*'Mortgage Calculator'!$U$28,"")</f>
        <v/>
      </c>
      <c r="P29" s="105" t="str">
        <f>IFERROR(M29/M29*R28*'Mortgage Calculator'!$C$13/12,"")</f>
        <v/>
      </c>
      <c r="Q29" s="105" t="str">
        <f t="shared" si="4"/>
        <v/>
      </c>
      <c r="R29" s="105" t="str">
        <f t="shared" si="5"/>
        <v/>
      </c>
    </row>
    <row r="30" spans="3:18" x14ac:dyDescent="0.3">
      <c r="C30" s="1" t="e">
        <f t="shared" si="1"/>
        <v>#VALUE!</v>
      </c>
      <c r="D30" s="1" t="str">
        <f t="shared" si="0"/>
        <v/>
      </c>
      <c r="F30" s="52" t="e">
        <f>'Mortgage Calculator'!$G$9*((1+'Mortgage Calculator'!$P$8)^(MISC!C30-1))</f>
        <v>#VALUE!</v>
      </c>
      <c r="G30" s="70" t="e">
        <f>'Mortgage Calculator'!$U$25*((1+'Mortgage Calculator'!$S$10)^(MISC!C30-1))</f>
        <v>#VALUE!</v>
      </c>
      <c r="H30" s="52" t="e">
        <f t="shared" si="2"/>
        <v>#VALUE!</v>
      </c>
      <c r="I30" s="69" t="str">
        <f>IFERROR(IF((H30+I29)*(1+('Mortgage Calculator'!$S$12/12))&gt;R30,"stop",(H30+I29)*(1+('Mortgage Calculator'!$S$12/12))),"")</f>
        <v/>
      </c>
      <c r="M30" s="83" t="str">
        <f t="shared" si="3"/>
        <v/>
      </c>
      <c r="N30" s="83"/>
      <c r="O30" s="105" t="str">
        <f>IFERROR(M30/M30*'Mortgage Calculator'!$U$28,"")</f>
        <v/>
      </c>
      <c r="P30" s="105" t="str">
        <f>IFERROR(M30/M30*R29*'Mortgage Calculator'!$C$13/12,"")</f>
        <v/>
      </c>
      <c r="Q30" s="105" t="str">
        <f t="shared" si="4"/>
        <v/>
      </c>
      <c r="R30" s="105" t="str">
        <f t="shared" si="5"/>
        <v/>
      </c>
    </row>
    <row r="31" spans="3:18" x14ac:dyDescent="0.3">
      <c r="C31" s="1" t="e">
        <f t="shared" si="1"/>
        <v>#VALUE!</v>
      </c>
      <c r="D31" s="1" t="str">
        <f t="shared" si="0"/>
        <v/>
      </c>
      <c r="F31" s="52" t="e">
        <f>'Mortgage Calculator'!$G$9*((1+'Mortgage Calculator'!$P$8)^(MISC!C31-1))</f>
        <v>#VALUE!</v>
      </c>
      <c r="G31" s="70" t="e">
        <f>'Mortgage Calculator'!$U$25*((1+'Mortgage Calculator'!$S$10)^(MISC!C31-1))</f>
        <v>#VALUE!</v>
      </c>
      <c r="H31" s="52" t="e">
        <f t="shared" si="2"/>
        <v>#VALUE!</v>
      </c>
      <c r="I31" s="69" t="str">
        <f>IFERROR(IF((H31+I30)*(1+('Mortgage Calculator'!$S$12/12))&gt;R31,"stop",(H31+I30)*(1+('Mortgage Calculator'!$S$12/12))),"")</f>
        <v/>
      </c>
      <c r="M31" s="83" t="str">
        <f t="shared" si="3"/>
        <v/>
      </c>
      <c r="N31" s="83"/>
      <c r="O31" s="105" t="str">
        <f>IFERROR(M31/M31*'Mortgage Calculator'!$U$28,"")</f>
        <v/>
      </c>
      <c r="P31" s="105" t="str">
        <f>IFERROR(M31/M31*R30*'Mortgage Calculator'!$C$13/12,"")</f>
        <v/>
      </c>
      <c r="Q31" s="105" t="str">
        <f t="shared" si="4"/>
        <v/>
      </c>
      <c r="R31" s="105" t="str">
        <f t="shared" si="5"/>
        <v/>
      </c>
    </row>
    <row r="32" spans="3:18" x14ac:dyDescent="0.3">
      <c r="C32" s="1" t="e">
        <f t="shared" si="1"/>
        <v>#VALUE!</v>
      </c>
      <c r="D32" s="1" t="str">
        <f t="shared" si="0"/>
        <v/>
      </c>
      <c r="F32" s="52" t="e">
        <f>'Mortgage Calculator'!$G$9*((1+'Mortgage Calculator'!$P$8)^(MISC!C32-1))</f>
        <v>#VALUE!</v>
      </c>
      <c r="G32" s="70" t="e">
        <f>'Mortgage Calculator'!$U$25*((1+'Mortgage Calculator'!$S$10)^(MISC!C32-1))</f>
        <v>#VALUE!</v>
      </c>
      <c r="H32" s="52" t="e">
        <f t="shared" si="2"/>
        <v>#VALUE!</v>
      </c>
      <c r="I32" s="69" t="str">
        <f>IFERROR(IF((H32+I31)*(1+('Mortgage Calculator'!$S$12/12))&gt;R32,"stop",(H32+I31)*(1+('Mortgage Calculator'!$S$12/12))),"")</f>
        <v/>
      </c>
      <c r="M32" s="83" t="str">
        <f t="shared" si="3"/>
        <v/>
      </c>
      <c r="N32" s="83"/>
      <c r="O32" s="105" t="str">
        <f>IFERROR(M32/M32*'Mortgage Calculator'!$U$28,"")</f>
        <v/>
      </c>
      <c r="P32" s="105" t="str">
        <f>IFERROR(M32/M32*R31*'Mortgage Calculator'!$C$13/12,"")</f>
        <v/>
      </c>
      <c r="Q32" s="105" t="str">
        <f t="shared" si="4"/>
        <v/>
      </c>
      <c r="R32" s="105" t="str">
        <f t="shared" si="5"/>
        <v/>
      </c>
    </row>
    <row r="33" spans="3:18" x14ac:dyDescent="0.3">
      <c r="C33" s="1" t="e">
        <f t="shared" si="1"/>
        <v>#VALUE!</v>
      </c>
      <c r="D33" s="1" t="str">
        <f t="shared" si="0"/>
        <v/>
      </c>
      <c r="F33" s="52" t="e">
        <f>'Mortgage Calculator'!$G$9*((1+'Mortgage Calculator'!$P$8)^(MISC!C33-1))</f>
        <v>#VALUE!</v>
      </c>
      <c r="G33" s="70" t="e">
        <f>'Mortgage Calculator'!$U$25*((1+'Mortgage Calculator'!$S$10)^(MISC!C33-1))</f>
        <v>#VALUE!</v>
      </c>
      <c r="H33" s="52" t="e">
        <f t="shared" si="2"/>
        <v>#VALUE!</v>
      </c>
      <c r="I33" s="69" t="str">
        <f>IFERROR(IF((H33+I32)*(1+('Mortgage Calculator'!$S$12/12))&gt;R33,"stop",(H33+I32)*(1+('Mortgage Calculator'!$S$12/12))),"")</f>
        <v/>
      </c>
      <c r="M33" s="83" t="str">
        <f t="shared" si="3"/>
        <v/>
      </c>
      <c r="N33" s="83"/>
      <c r="O33" s="105" t="str">
        <f>IFERROR(M33/M33*'Mortgage Calculator'!$U$28,"")</f>
        <v/>
      </c>
      <c r="P33" s="105" t="str">
        <f>IFERROR(M33/M33*R32*'Mortgage Calculator'!$C$13/12,"")</f>
        <v/>
      </c>
      <c r="Q33" s="105" t="str">
        <f t="shared" si="4"/>
        <v/>
      </c>
      <c r="R33" s="105" t="str">
        <f t="shared" si="5"/>
        <v/>
      </c>
    </row>
    <row r="34" spans="3:18" x14ac:dyDescent="0.3">
      <c r="C34" s="1" t="e">
        <f t="shared" si="1"/>
        <v>#VALUE!</v>
      </c>
      <c r="D34" s="1" t="str">
        <f t="shared" si="0"/>
        <v/>
      </c>
      <c r="F34" s="52" t="e">
        <f>'Mortgage Calculator'!$G$9*((1+'Mortgage Calculator'!$P$8)^(MISC!C34-1))</f>
        <v>#VALUE!</v>
      </c>
      <c r="G34" s="70" t="e">
        <f>'Mortgage Calculator'!$U$25*((1+'Mortgage Calculator'!$S$10)^(MISC!C34-1))</f>
        <v>#VALUE!</v>
      </c>
      <c r="H34" s="52" t="e">
        <f t="shared" si="2"/>
        <v>#VALUE!</v>
      </c>
      <c r="I34" s="69" t="str">
        <f>IFERROR(IF((H34+I33)*(1+('Mortgage Calculator'!$S$12/12))&gt;R34,"stop",(H34+I33)*(1+('Mortgage Calculator'!$S$12/12))),"")</f>
        <v/>
      </c>
      <c r="M34" s="83" t="str">
        <f t="shared" si="3"/>
        <v/>
      </c>
      <c r="N34" s="83"/>
      <c r="O34" s="105" t="str">
        <f>IFERROR(M34/M34*'Mortgage Calculator'!$U$28,"")</f>
        <v/>
      </c>
      <c r="P34" s="105" t="str">
        <f>IFERROR(M34/M34*R33*'Mortgage Calculator'!$C$13/12,"")</f>
        <v/>
      </c>
      <c r="Q34" s="105" t="str">
        <f t="shared" si="4"/>
        <v/>
      </c>
      <c r="R34" s="105" t="str">
        <f t="shared" si="5"/>
        <v/>
      </c>
    </row>
    <row r="35" spans="3:18" x14ac:dyDescent="0.3">
      <c r="C35" s="1" t="e">
        <f t="shared" si="1"/>
        <v>#VALUE!</v>
      </c>
      <c r="D35" s="1" t="str">
        <f t="shared" si="0"/>
        <v/>
      </c>
      <c r="F35" s="52" t="e">
        <f>'Mortgage Calculator'!$G$9*((1+'Mortgage Calculator'!$P$8)^(MISC!C35-1))</f>
        <v>#VALUE!</v>
      </c>
      <c r="G35" s="70" t="e">
        <f>'Mortgage Calculator'!$U$25*((1+'Mortgage Calculator'!$S$10)^(MISC!C35-1))</f>
        <v>#VALUE!</v>
      </c>
      <c r="H35" s="52" t="e">
        <f t="shared" si="2"/>
        <v>#VALUE!</v>
      </c>
      <c r="I35" s="69" t="str">
        <f>IFERROR(IF((H35+I34)*(1+('Mortgage Calculator'!$S$12/12))&gt;R35,"stop",(H35+I34)*(1+('Mortgage Calculator'!$S$12/12))),"")</f>
        <v/>
      </c>
      <c r="M35" s="83" t="str">
        <f t="shared" si="3"/>
        <v/>
      </c>
      <c r="N35" s="83"/>
      <c r="O35" s="105" t="str">
        <f>IFERROR(M35/M35*'Mortgage Calculator'!$U$28,"")</f>
        <v/>
      </c>
      <c r="P35" s="105" t="str">
        <f>IFERROR(M35/M35*R34*'Mortgage Calculator'!$C$13/12,"")</f>
        <v/>
      </c>
      <c r="Q35" s="105" t="str">
        <f t="shared" si="4"/>
        <v/>
      </c>
      <c r="R35" s="105" t="str">
        <f t="shared" si="5"/>
        <v/>
      </c>
    </row>
    <row r="36" spans="3:18" x14ac:dyDescent="0.3">
      <c r="C36" s="1" t="e">
        <f t="shared" si="1"/>
        <v>#VALUE!</v>
      </c>
      <c r="D36" s="1" t="str">
        <f t="shared" si="0"/>
        <v/>
      </c>
      <c r="F36" s="52" t="e">
        <f>'Mortgage Calculator'!$G$9*((1+'Mortgage Calculator'!$P$8)^(MISC!C36-1))</f>
        <v>#VALUE!</v>
      </c>
      <c r="G36" s="70" t="e">
        <f>'Mortgage Calculator'!$U$25*((1+'Mortgage Calculator'!$S$10)^(MISC!C36-1))</f>
        <v>#VALUE!</v>
      </c>
      <c r="H36" s="52" t="e">
        <f t="shared" si="2"/>
        <v>#VALUE!</v>
      </c>
      <c r="I36" s="69" t="str">
        <f>IFERROR(IF((H36+I35)*(1+('Mortgage Calculator'!$S$12/12))&gt;R36,"stop",(H36+I35)*(1+('Mortgage Calculator'!$S$12/12))),"")</f>
        <v/>
      </c>
      <c r="M36" s="83" t="str">
        <f t="shared" si="3"/>
        <v/>
      </c>
      <c r="N36" s="83"/>
      <c r="O36" s="105" t="str">
        <f>IFERROR(M36/M36*'Mortgage Calculator'!$U$28,"")</f>
        <v/>
      </c>
      <c r="P36" s="105" t="str">
        <f>IFERROR(M36/M36*R35*'Mortgage Calculator'!$C$13/12,"")</f>
        <v/>
      </c>
      <c r="Q36" s="105" t="str">
        <f t="shared" si="4"/>
        <v/>
      </c>
      <c r="R36" s="105" t="str">
        <f t="shared" si="5"/>
        <v/>
      </c>
    </row>
    <row r="37" spans="3:18" x14ac:dyDescent="0.3">
      <c r="C37" s="1" t="e">
        <f t="shared" si="1"/>
        <v>#VALUE!</v>
      </c>
      <c r="D37" s="1" t="str">
        <f t="shared" si="0"/>
        <v/>
      </c>
      <c r="F37" s="52" t="e">
        <f>'Mortgage Calculator'!$G$9*((1+'Mortgage Calculator'!$P$8)^(MISC!C37-1))</f>
        <v>#VALUE!</v>
      </c>
      <c r="G37" s="70" t="e">
        <f>'Mortgage Calculator'!$U$25*((1+'Mortgage Calculator'!$S$10)^(MISC!C37-1))</f>
        <v>#VALUE!</v>
      </c>
      <c r="H37" s="52" t="e">
        <f t="shared" si="2"/>
        <v>#VALUE!</v>
      </c>
      <c r="I37" s="69" t="str">
        <f>IFERROR(IF((H37+I36)*(1+('Mortgage Calculator'!$S$12/12))&gt;R37,"stop",(H37+I36)*(1+('Mortgage Calculator'!$S$12/12))),"")</f>
        <v/>
      </c>
      <c r="M37" s="83" t="str">
        <f t="shared" si="3"/>
        <v/>
      </c>
      <c r="N37" s="83"/>
      <c r="O37" s="105" t="str">
        <f>IFERROR(M37/M37*'Mortgage Calculator'!$U$28,"")</f>
        <v/>
      </c>
      <c r="P37" s="105" t="str">
        <f>IFERROR(M37/M37*R36*'Mortgage Calculator'!$C$13/12,"")</f>
        <v/>
      </c>
      <c r="Q37" s="105" t="str">
        <f t="shared" si="4"/>
        <v/>
      </c>
      <c r="R37" s="105" t="str">
        <f t="shared" si="5"/>
        <v/>
      </c>
    </row>
    <row r="38" spans="3:18" x14ac:dyDescent="0.3">
      <c r="C38" s="1" t="e">
        <f t="shared" si="1"/>
        <v>#VALUE!</v>
      </c>
      <c r="D38" s="1" t="str">
        <f t="shared" si="0"/>
        <v/>
      </c>
      <c r="F38" s="52" t="e">
        <f>'Mortgage Calculator'!$G$9*((1+'Mortgage Calculator'!$P$8)^(MISC!C38-1))</f>
        <v>#VALUE!</v>
      </c>
      <c r="G38" s="70" t="e">
        <f>'Mortgage Calculator'!$U$25*((1+'Mortgage Calculator'!$S$10)^(MISC!C38-1))</f>
        <v>#VALUE!</v>
      </c>
      <c r="H38" s="52" t="e">
        <f t="shared" si="2"/>
        <v>#VALUE!</v>
      </c>
      <c r="I38" s="69" t="str">
        <f>IFERROR(IF((H38+I37)*(1+('Mortgage Calculator'!$S$12/12))&gt;R38,"stop",(H38+I37)*(1+('Mortgage Calculator'!$S$12/12))),"")</f>
        <v/>
      </c>
      <c r="M38" s="83" t="str">
        <f t="shared" si="3"/>
        <v/>
      </c>
      <c r="N38" s="83"/>
      <c r="O38" s="105" t="str">
        <f>IFERROR(M38/M38*'Mortgage Calculator'!$U$28,"")</f>
        <v/>
      </c>
      <c r="P38" s="105" t="str">
        <f>IFERROR(M38/M38*R37*'Mortgage Calculator'!$C$13/12,"")</f>
        <v/>
      </c>
      <c r="Q38" s="105" t="str">
        <f t="shared" si="4"/>
        <v/>
      </c>
      <c r="R38" s="105" t="str">
        <f t="shared" si="5"/>
        <v/>
      </c>
    </row>
    <row r="39" spans="3:18" x14ac:dyDescent="0.3">
      <c r="C39" s="1" t="e">
        <f t="shared" si="1"/>
        <v>#VALUE!</v>
      </c>
      <c r="D39" s="1" t="str">
        <f t="shared" si="0"/>
        <v/>
      </c>
      <c r="F39" s="52" t="e">
        <f>'Mortgage Calculator'!$G$9*((1+'Mortgage Calculator'!$P$8)^(MISC!C39-1))</f>
        <v>#VALUE!</v>
      </c>
      <c r="G39" s="70" t="e">
        <f>'Mortgage Calculator'!$U$25*((1+'Mortgage Calculator'!$S$10)^(MISC!C39-1))</f>
        <v>#VALUE!</v>
      </c>
      <c r="H39" s="52" t="e">
        <f t="shared" si="2"/>
        <v>#VALUE!</v>
      </c>
      <c r="I39" s="69" t="str">
        <f>IFERROR(IF((H39+I38)*(1+('Mortgage Calculator'!$S$12/12))&gt;R39,"stop",(H39+I38)*(1+('Mortgage Calculator'!$S$12/12))),"")</f>
        <v/>
      </c>
      <c r="M39" s="83" t="str">
        <f t="shared" si="3"/>
        <v/>
      </c>
      <c r="N39" s="83"/>
      <c r="O39" s="105" t="str">
        <f>IFERROR(M39/M39*'Mortgage Calculator'!$U$28,"")</f>
        <v/>
      </c>
      <c r="P39" s="105" t="str">
        <f>IFERROR(M39/M39*R38*'Mortgage Calculator'!$C$13/12,"")</f>
        <v/>
      </c>
      <c r="Q39" s="105" t="str">
        <f t="shared" si="4"/>
        <v/>
      </c>
      <c r="R39" s="105" t="str">
        <f t="shared" si="5"/>
        <v/>
      </c>
    </row>
    <row r="40" spans="3:18" x14ac:dyDescent="0.3">
      <c r="C40" s="1" t="e">
        <f t="shared" si="1"/>
        <v>#VALUE!</v>
      </c>
      <c r="D40" s="1" t="str">
        <f t="shared" si="0"/>
        <v/>
      </c>
      <c r="F40" s="52" t="e">
        <f>'Mortgage Calculator'!$G$9*((1+'Mortgage Calculator'!$P$8)^(MISC!C40-1))</f>
        <v>#VALUE!</v>
      </c>
      <c r="G40" s="70" t="e">
        <f>'Mortgage Calculator'!$U$25*((1+'Mortgage Calculator'!$S$10)^(MISC!C40-1))</f>
        <v>#VALUE!</v>
      </c>
      <c r="H40" s="52" t="e">
        <f t="shared" si="2"/>
        <v>#VALUE!</v>
      </c>
      <c r="I40" s="69" t="str">
        <f>IFERROR(IF((H40+I39)*(1+('Mortgage Calculator'!$S$12/12))&gt;R40,"stop",(H40+I39)*(1+('Mortgage Calculator'!$S$12/12))),"")</f>
        <v/>
      </c>
      <c r="M40" s="83" t="str">
        <f t="shared" si="3"/>
        <v/>
      </c>
      <c r="N40" s="83"/>
      <c r="O40" s="105" t="str">
        <f>IFERROR(M40/M40*'Mortgage Calculator'!$U$28,"")</f>
        <v/>
      </c>
      <c r="P40" s="105" t="str">
        <f>IFERROR(M40/M40*R39*'Mortgage Calculator'!$C$13/12,"")</f>
        <v/>
      </c>
      <c r="Q40" s="105" t="str">
        <f t="shared" si="4"/>
        <v/>
      </c>
      <c r="R40" s="105" t="str">
        <f t="shared" si="5"/>
        <v/>
      </c>
    </row>
    <row r="41" spans="3:18" x14ac:dyDescent="0.3">
      <c r="C41" s="1" t="e">
        <f t="shared" si="1"/>
        <v>#VALUE!</v>
      </c>
      <c r="D41" s="1" t="str">
        <f t="shared" si="0"/>
        <v/>
      </c>
      <c r="F41" s="52" t="e">
        <f>'Mortgage Calculator'!$G$9*((1+'Mortgage Calculator'!$P$8)^(MISC!C41-1))</f>
        <v>#VALUE!</v>
      </c>
      <c r="G41" s="70" t="e">
        <f>'Mortgage Calculator'!$U$25*((1+'Mortgage Calculator'!$S$10)^(MISC!C41-1))</f>
        <v>#VALUE!</v>
      </c>
      <c r="H41" s="52" t="e">
        <f t="shared" si="2"/>
        <v>#VALUE!</v>
      </c>
      <c r="I41" s="69" t="str">
        <f>IFERROR(IF((H41+I40)*(1+('Mortgage Calculator'!$S$12/12))&gt;R41,"stop",(H41+I40)*(1+('Mortgage Calculator'!$S$12/12))),"")</f>
        <v/>
      </c>
      <c r="M41" s="83" t="str">
        <f t="shared" si="3"/>
        <v/>
      </c>
      <c r="N41" s="83"/>
      <c r="O41" s="105" t="str">
        <f>IFERROR(M41/M41*'Mortgage Calculator'!$U$28,"")</f>
        <v/>
      </c>
      <c r="P41" s="105" t="str">
        <f>IFERROR(M41/M41*R40*'Mortgage Calculator'!$C$13/12,"")</f>
        <v/>
      </c>
      <c r="Q41" s="105" t="str">
        <f t="shared" si="4"/>
        <v/>
      </c>
      <c r="R41" s="105" t="str">
        <f t="shared" si="5"/>
        <v/>
      </c>
    </row>
    <row r="42" spans="3:18" x14ac:dyDescent="0.3">
      <c r="C42" s="1" t="e">
        <f t="shared" si="1"/>
        <v>#VALUE!</v>
      </c>
      <c r="D42" s="1" t="str">
        <f t="shared" si="0"/>
        <v/>
      </c>
      <c r="F42" s="52" t="e">
        <f>'Mortgage Calculator'!$G$9*((1+'Mortgage Calculator'!$P$8)^(MISC!C42-1))</f>
        <v>#VALUE!</v>
      </c>
      <c r="G42" s="70" t="e">
        <f>'Mortgage Calculator'!$U$25*((1+'Mortgage Calculator'!$S$10)^(MISC!C42-1))</f>
        <v>#VALUE!</v>
      </c>
      <c r="H42" s="52" t="e">
        <f t="shared" si="2"/>
        <v>#VALUE!</v>
      </c>
      <c r="I42" s="69" t="str">
        <f>IFERROR(IF((H42+I41)*(1+('Mortgage Calculator'!$S$12/12))&gt;R42,"stop",(H42+I41)*(1+('Mortgage Calculator'!$S$12/12))),"")</f>
        <v/>
      </c>
      <c r="M42" s="83" t="str">
        <f t="shared" si="3"/>
        <v/>
      </c>
      <c r="N42" s="83"/>
      <c r="O42" s="105" t="str">
        <f>IFERROR(M42/M42*'Mortgage Calculator'!$U$28,"")</f>
        <v/>
      </c>
      <c r="P42" s="105" t="str">
        <f>IFERROR(M42/M42*R41*'Mortgage Calculator'!$C$13/12,"")</f>
        <v/>
      </c>
      <c r="Q42" s="105" t="str">
        <f t="shared" si="4"/>
        <v/>
      </c>
      <c r="R42" s="105" t="str">
        <f t="shared" si="5"/>
        <v/>
      </c>
    </row>
    <row r="43" spans="3:18" x14ac:dyDescent="0.3">
      <c r="C43" s="1" t="e">
        <f t="shared" si="1"/>
        <v>#VALUE!</v>
      </c>
      <c r="D43" s="1" t="str">
        <f t="shared" si="0"/>
        <v/>
      </c>
      <c r="F43" s="52" t="e">
        <f>'Mortgage Calculator'!$G$9*((1+'Mortgage Calculator'!$P$8)^(MISC!C43-1))</f>
        <v>#VALUE!</v>
      </c>
      <c r="G43" s="70" t="e">
        <f>'Mortgage Calculator'!$U$25*((1+'Mortgage Calculator'!$S$10)^(MISC!C43-1))</f>
        <v>#VALUE!</v>
      </c>
      <c r="H43" s="52" t="e">
        <f t="shared" si="2"/>
        <v>#VALUE!</v>
      </c>
      <c r="I43" s="69" t="str">
        <f>IFERROR(IF((H43+I42)*(1+('Mortgage Calculator'!$S$12/12))&gt;R43,"stop",(H43+I42)*(1+('Mortgage Calculator'!$S$12/12))),"")</f>
        <v/>
      </c>
      <c r="M43" s="83" t="str">
        <f t="shared" si="3"/>
        <v/>
      </c>
      <c r="N43" s="83"/>
      <c r="O43" s="105" t="str">
        <f>IFERROR(M43/M43*'Mortgage Calculator'!$U$28,"")</f>
        <v/>
      </c>
      <c r="P43" s="105" t="str">
        <f>IFERROR(M43/M43*R42*'Mortgage Calculator'!$C$13/12,"")</f>
        <v/>
      </c>
      <c r="Q43" s="105" t="str">
        <f t="shared" si="4"/>
        <v/>
      </c>
      <c r="R43" s="105" t="str">
        <f t="shared" si="5"/>
        <v/>
      </c>
    </row>
    <row r="44" spans="3:18" x14ac:dyDescent="0.3">
      <c r="C44" s="1" t="e">
        <f t="shared" si="1"/>
        <v>#VALUE!</v>
      </c>
      <c r="D44" s="1" t="str">
        <f t="shared" si="0"/>
        <v/>
      </c>
      <c r="F44" s="52" t="e">
        <f>'Mortgage Calculator'!$G$9*((1+'Mortgage Calculator'!$P$8)^(MISC!C44-1))</f>
        <v>#VALUE!</v>
      </c>
      <c r="G44" s="70" t="e">
        <f>'Mortgage Calculator'!$U$25*((1+'Mortgage Calculator'!$S$10)^(MISC!C44-1))</f>
        <v>#VALUE!</v>
      </c>
      <c r="H44" s="52" t="e">
        <f t="shared" si="2"/>
        <v>#VALUE!</v>
      </c>
      <c r="I44" s="69" t="str">
        <f>IFERROR(IF((H44+I43)*(1+('Mortgage Calculator'!$S$12/12))&gt;R44,"stop",(H44+I43)*(1+('Mortgage Calculator'!$S$12/12))),"")</f>
        <v/>
      </c>
      <c r="M44" s="83" t="str">
        <f t="shared" si="3"/>
        <v/>
      </c>
      <c r="N44" s="83"/>
      <c r="O44" s="105" t="str">
        <f>IFERROR(M44/M44*'Mortgage Calculator'!$U$28,"")</f>
        <v/>
      </c>
      <c r="P44" s="105" t="str">
        <f>IFERROR(M44/M44*R43*'Mortgage Calculator'!$C$13/12,"")</f>
        <v/>
      </c>
      <c r="Q44" s="105" t="str">
        <f t="shared" si="4"/>
        <v/>
      </c>
      <c r="R44" s="105" t="str">
        <f t="shared" si="5"/>
        <v/>
      </c>
    </row>
    <row r="45" spans="3:18" x14ac:dyDescent="0.3">
      <c r="C45" s="1" t="e">
        <f t="shared" si="1"/>
        <v>#VALUE!</v>
      </c>
      <c r="D45" s="1" t="str">
        <f t="shared" si="0"/>
        <v/>
      </c>
      <c r="F45" s="52" t="e">
        <f>'Mortgage Calculator'!$G$9*((1+'Mortgage Calculator'!$P$8)^(MISC!C45-1))</f>
        <v>#VALUE!</v>
      </c>
      <c r="G45" s="70" t="e">
        <f>'Mortgage Calculator'!$U$25*((1+'Mortgage Calculator'!$S$10)^(MISC!C45-1))</f>
        <v>#VALUE!</v>
      </c>
      <c r="H45" s="52" t="e">
        <f t="shared" si="2"/>
        <v>#VALUE!</v>
      </c>
      <c r="I45" s="69" t="str">
        <f>IFERROR(IF((H45+I44)*(1+('Mortgage Calculator'!$S$12/12))&gt;R45,"stop",(H45+I44)*(1+('Mortgage Calculator'!$S$12/12))),"")</f>
        <v/>
      </c>
      <c r="M45" s="83" t="str">
        <f t="shared" si="3"/>
        <v/>
      </c>
      <c r="N45" s="83"/>
      <c r="O45" s="105" t="str">
        <f>IFERROR(M45/M45*'Mortgage Calculator'!$U$28,"")</f>
        <v/>
      </c>
      <c r="P45" s="105" t="str">
        <f>IFERROR(M45/M45*R44*'Mortgage Calculator'!$C$13/12,"")</f>
        <v/>
      </c>
      <c r="Q45" s="105" t="str">
        <f t="shared" si="4"/>
        <v/>
      </c>
      <c r="R45" s="105" t="str">
        <f t="shared" si="5"/>
        <v/>
      </c>
    </row>
    <row r="46" spans="3:18" x14ac:dyDescent="0.3">
      <c r="C46" s="1" t="e">
        <f t="shared" si="1"/>
        <v>#VALUE!</v>
      </c>
      <c r="D46" s="1" t="str">
        <f t="shared" si="0"/>
        <v/>
      </c>
      <c r="F46" s="52" t="e">
        <f>'Mortgage Calculator'!$G$9*((1+'Mortgage Calculator'!$P$8)^(MISC!C46-1))</f>
        <v>#VALUE!</v>
      </c>
      <c r="G46" s="70" t="e">
        <f>'Mortgage Calculator'!$U$25*((1+'Mortgage Calculator'!$S$10)^(MISC!C46-1))</f>
        <v>#VALUE!</v>
      </c>
      <c r="H46" s="52" t="e">
        <f t="shared" si="2"/>
        <v>#VALUE!</v>
      </c>
      <c r="I46" s="69" t="str">
        <f>IFERROR(IF((H46+I45)*(1+('Mortgage Calculator'!$S$12/12))&gt;R46,"stop",(H46+I45)*(1+('Mortgage Calculator'!$S$12/12))),"")</f>
        <v/>
      </c>
      <c r="M46" s="83" t="str">
        <f t="shared" si="3"/>
        <v/>
      </c>
      <c r="N46" s="83"/>
      <c r="O46" s="105" t="str">
        <f>IFERROR(M46/M46*'Mortgage Calculator'!$U$28,"")</f>
        <v/>
      </c>
      <c r="P46" s="105" t="str">
        <f>IFERROR(M46/M46*R45*'Mortgage Calculator'!$C$13/12,"")</f>
        <v/>
      </c>
      <c r="Q46" s="105" t="str">
        <f t="shared" si="4"/>
        <v/>
      </c>
      <c r="R46" s="105" t="str">
        <f t="shared" si="5"/>
        <v/>
      </c>
    </row>
    <row r="47" spans="3:18" x14ac:dyDescent="0.3">
      <c r="C47" s="1" t="e">
        <f t="shared" si="1"/>
        <v>#VALUE!</v>
      </c>
      <c r="D47" s="1" t="str">
        <f t="shared" si="0"/>
        <v/>
      </c>
      <c r="F47" s="52" t="e">
        <f>'Mortgage Calculator'!$G$9*((1+'Mortgage Calculator'!$P$8)^(MISC!C47-1))</f>
        <v>#VALUE!</v>
      </c>
      <c r="G47" s="70" t="e">
        <f>'Mortgage Calculator'!$U$25*((1+'Mortgage Calculator'!$S$10)^(MISC!C47-1))</f>
        <v>#VALUE!</v>
      </c>
      <c r="H47" s="52" t="e">
        <f t="shared" si="2"/>
        <v>#VALUE!</v>
      </c>
      <c r="I47" s="69" t="str">
        <f>IFERROR(IF((H47+I46)*(1+('Mortgage Calculator'!$S$12/12))&gt;R47,"stop",(H47+I46)*(1+('Mortgage Calculator'!$S$12/12))),"")</f>
        <v/>
      </c>
      <c r="M47" s="83" t="str">
        <f t="shared" si="3"/>
        <v/>
      </c>
      <c r="N47" s="83"/>
      <c r="O47" s="105" t="str">
        <f>IFERROR(M47/M47*'Mortgage Calculator'!$U$28,"")</f>
        <v/>
      </c>
      <c r="P47" s="105" t="str">
        <f>IFERROR(M47/M47*R46*'Mortgage Calculator'!$C$13/12,"")</f>
        <v/>
      </c>
      <c r="Q47" s="105" t="str">
        <f t="shared" si="4"/>
        <v/>
      </c>
      <c r="R47" s="105" t="str">
        <f t="shared" si="5"/>
        <v/>
      </c>
    </row>
    <row r="48" spans="3:18" x14ac:dyDescent="0.3">
      <c r="C48" s="1" t="e">
        <f t="shared" si="1"/>
        <v>#VALUE!</v>
      </c>
      <c r="D48" s="1" t="str">
        <f t="shared" si="0"/>
        <v/>
      </c>
      <c r="F48" s="52" t="e">
        <f>'Mortgage Calculator'!$G$9*((1+'Mortgage Calculator'!$P$8)^(MISC!C48-1))</f>
        <v>#VALUE!</v>
      </c>
      <c r="G48" s="70" t="e">
        <f>'Mortgage Calculator'!$U$25*((1+'Mortgage Calculator'!$S$10)^(MISC!C48-1))</f>
        <v>#VALUE!</v>
      </c>
      <c r="H48" s="52" t="e">
        <f t="shared" si="2"/>
        <v>#VALUE!</v>
      </c>
      <c r="I48" s="69" t="str">
        <f>IFERROR(IF((H48+I47)*(1+('Mortgage Calculator'!$S$12/12))&gt;R48,"stop",(H48+I47)*(1+('Mortgage Calculator'!$S$12/12))),"")</f>
        <v/>
      </c>
      <c r="M48" s="83" t="str">
        <f t="shared" si="3"/>
        <v/>
      </c>
      <c r="N48" s="83"/>
      <c r="O48" s="105" t="str">
        <f>IFERROR(M48/M48*'Mortgage Calculator'!$U$28,"")</f>
        <v/>
      </c>
      <c r="P48" s="105" t="str">
        <f>IFERROR(M48/M48*R47*'Mortgage Calculator'!$C$13/12,"")</f>
        <v/>
      </c>
      <c r="Q48" s="105" t="str">
        <f t="shared" si="4"/>
        <v/>
      </c>
      <c r="R48" s="105" t="str">
        <f t="shared" si="5"/>
        <v/>
      </c>
    </row>
    <row r="49" spans="3:18" x14ac:dyDescent="0.3">
      <c r="C49" s="1" t="e">
        <f t="shared" si="1"/>
        <v>#VALUE!</v>
      </c>
      <c r="D49" s="1" t="str">
        <f t="shared" si="0"/>
        <v/>
      </c>
      <c r="F49" s="52" t="e">
        <f>'Mortgage Calculator'!$G$9*((1+'Mortgage Calculator'!$P$8)^(MISC!C49-1))</f>
        <v>#VALUE!</v>
      </c>
      <c r="G49" s="70" t="e">
        <f>'Mortgage Calculator'!$U$25*((1+'Mortgage Calculator'!$S$10)^(MISC!C49-1))</f>
        <v>#VALUE!</v>
      </c>
      <c r="H49" s="52" t="e">
        <f t="shared" si="2"/>
        <v>#VALUE!</v>
      </c>
      <c r="I49" s="69" t="str">
        <f>IFERROR(IF((H49+I48)*(1+('Mortgage Calculator'!$S$12/12))&gt;R49,"stop",(H49+I48)*(1+('Mortgage Calculator'!$S$12/12))),"")</f>
        <v/>
      </c>
      <c r="M49" s="83" t="str">
        <f t="shared" si="3"/>
        <v/>
      </c>
      <c r="N49" s="83"/>
      <c r="O49" s="105" t="str">
        <f>IFERROR(M49/M49*'Mortgage Calculator'!$U$28,"")</f>
        <v/>
      </c>
      <c r="P49" s="105" t="str">
        <f>IFERROR(M49/M49*R48*'Mortgage Calculator'!$C$13/12,"")</f>
        <v/>
      </c>
      <c r="Q49" s="105" t="str">
        <f t="shared" si="4"/>
        <v/>
      </c>
      <c r="R49" s="105" t="str">
        <f t="shared" si="5"/>
        <v/>
      </c>
    </row>
    <row r="50" spans="3:18" x14ac:dyDescent="0.3">
      <c r="C50" s="1" t="e">
        <f t="shared" si="1"/>
        <v>#VALUE!</v>
      </c>
      <c r="D50" s="1" t="str">
        <f t="shared" si="0"/>
        <v/>
      </c>
      <c r="F50" s="52" t="e">
        <f>'Mortgage Calculator'!$G$9*((1+'Mortgage Calculator'!$P$8)^(MISC!C50-1))</f>
        <v>#VALUE!</v>
      </c>
      <c r="G50" s="70" t="e">
        <f>'Mortgage Calculator'!$U$25*((1+'Mortgage Calculator'!$S$10)^(MISC!C50-1))</f>
        <v>#VALUE!</v>
      </c>
      <c r="H50" s="52" t="e">
        <f t="shared" si="2"/>
        <v>#VALUE!</v>
      </c>
      <c r="I50" s="69" t="str">
        <f>IFERROR(IF((H50+I49)*(1+('Mortgage Calculator'!$S$12/12))&gt;R50,"stop",(H50+I49)*(1+('Mortgage Calculator'!$S$12/12))),"")</f>
        <v/>
      </c>
      <c r="M50" s="83" t="str">
        <f t="shared" si="3"/>
        <v/>
      </c>
      <c r="N50" s="83"/>
      <c r="O50" s="105" t="str">
        <f>IFERROR(M50/M50*'Mortgage Calculator'!$U$28,"")</f>
        <v/>
      </c>
      <c r="P50" s="105" t="str">
        <f>IFERROR(M50/M50*R49*'Mortgage Calculator'!$C$13/12,"")</f>
        <v/>
      </c>
      <c r="Q50" s="105" t="str">
        <f t="shared" si="4"/>
        <v/>
      </c>
      <c r="R50" s="105" t="str">
        <f t="shared" si="5"/>
        <v/>
      </c>
    </row>
    <row r="51" spans="3:18" x14ac:dyDescent="0.3">
      <c r="C51" s="1" t="e">
        <f t="shared" si="1"/>
        <v>#VALUE!</v>
      </c>
      <c r="D51" s="1" t="str">
        <f t="shared" si="0"/>
        <v/>
      </c>
      <c r="F51" s="52" t="e">
        <f>'Mortgage Calculator'!$G$9*((1+'Mortgage Calculator'!$P$8)^(MISC!C51-1))</f>
        <v>#VALUE!</v>
      </c>
      <c r="G51" s="70" t="e">
        <f>'Mortgage Calculator'!$U$25*((1+'Mortgage Calculator'!$S$10)^(MISC!C51-1))</f>
        <v>#VALUE!</v>
      </c>
      <c r="H51" s="52" t="e">
        <f t="shared" si="2"/>
        <v>#VALUE!</v>
      </c>
      <c r="I51" s="69" t="str">
        <f>IFERROR(IF((H51+I50)*(1+('Mortgage Calculator'!$S$12/12))&gt;R51,"stop",(H51+I50)*(1+('Mortgage Calculator'!$S$12/12))),"")</f>
        <v/>
      </c>
      <c r="M51" s="83" t="str">
        <f t="shared" si="3"/>
        <v/>
      </c>
      <c r="N51" s="83"/>
      <c r="O51" s="105" t="str">
        <f>IFERROR(M51/M51*'Mortgage Calculator'!$U$28,"")</f>
        <v/>
      </c>
      <c r="P51" s="105" t="str">
        <f>IFERROR(M51/M51*R50*'Mortgage Calculator'!$C$13/12,"")</f>
        <v/>
      </c>
      <c r="Q51" s="105" t="str">
        <f t="shared" si="4"/>
        <v/>
      </c>
      <c r="R51" s="105" t="str">
        <f t="shared" si="5"/>
        <v/>
      </c>
    </row>
    <row r="52" spans="3:18" x14ac:dyDescent="0.3">
      <c r="C52" s="1" t="e">
        <f t="shared" si="1"/>
        <v>#VALUE!</v>
      </c>
      <c r="D52" s="1" t="str">
        <f t="shared" si="0"/>
        <v/>
      </c>
      <c r="F52" s="52" t="e">
        <f>'Mortgage Calculator'!$G$9*((1+'Mortgage Calculator'!$P$8)^(MISC!C52-1))</f>
        <v>#VALUE!</v>
      </c>
      <c r="G52" s="70" t="e">
        <f>'Mortgage Calculator'!$U$25*((1+'Mortgage Calculator'!$S$10)^(MISC!C52-1))</f>
        <v>#VALUE!</v>
      </c>
      <c r="H52" s="52" t="e">
        <f t="shared" si="2"/>
        <v>#VALUE!</v>
      </c>
      <c r="I52" s="69" t="str">
        <f>IFERROR(IF((H52+I51)*(1+('Mortgage Calculator'!$S$12/12))&gt;R52,"stop",(H52+I51)*(1+('Mortgage Calculator'!$S$12/12))),"")</f>
        <v/>
      </c>
      <c r="M52" s="83" t="str">
        <f t="shared" si="3"/>
        <v/>
      </c>
      <c r="N52" s="83"/>
      <c r="O52" s="105" t="str">
        <f>IFERROR(M52/M52*'Mortgage Calculator'!$U$28,"")</f>
        <v/>
      </c>
      <c r="P52" s="105" t="str">
        <f>IFERROR(M52/M52*R51*'Mortgage Calculator'!$C$13/12,"")</f>
        <v/>
      </c>
      <c r="Q52" s="105" t="str">
        <f t="shared" si="4"/>
        <v/>
      </c>
      <c r="R52" s="105" t="str">
        <f t="shared" si="5"/>
        <v/>
      </c>
    </row>
    <row r="53" spans="3:18" x14ac:dyDescent="0.3">
      <c r="C53" s="1" t="e">
        <f t="shared" si="1"/>
        <v>#VALUE!</v>
      </c>
      <c r="D53" s="1" t="str">
        <f t="shared" si="0"/>
        <v/>
      </c>
      <c r="F53" s="52" t="e">
        <f>'Mortgage Calculator'!$G$9*((1+'Mortgage Calculator'!$P$8)^(MISC!C53-1))</f>
        <v>#VALUE!</v>
      </c>
      <c r="G53" s="70" t="e">
        <f>'Mortgage Calculator'!$U$25*((1+'Mortgage Calculator'!$S$10)^(MISC!C53-1))</f>
        <v>#VALUE!</v>
      </c>
      <c r="H53" s="52" t="e">
        <f t="shared" si="2"/>
        <v>#VALUE!</v>
      </c>
      <c r="I53" s="69" t="str">
        <f>IFERROR(IF((H53+I52)*(1+('Mortgage Calculator'!$S$12/12))&gt;R53,"stop",(H53+I52)*(1+('Mortgage Calculator'!$S$12/12))),"")</f>
        <v/>
      </c>
      <c r="M53" s="83" t="str">
        <f t="shared" si="3"/>
        <v/>
      </c>
      <c r="N53" s="83"/>
      <c r="O53" s="105" t="str">
        <f>IFERROR(M53/M53*'Mortgage Calculator'!$U$28,"")</f>
        <v/>
      </c>
      <c r="P53" s="105" t="str">
        <f>IFERROR(M53/M53*R52*'Mortgage Calculator'!$C$13/12,"")</f>
        <v/>
      </c>
      <c r="Q53" s="105" t="str">
        <f t="shared" si="4"/>
        <v/>
      </c>
      <c r="R53" s="105" t="str">
        <f t="shared" si="5"/>
        <v/>
      </c>
    </row>
    <row r="54" spans="3:18" x14ac:dyDescent="0.3">
      <c r="C54" s="1" t="e">
        <f t="shared" si="1"/>
        <v>#VALUE!</v>
      </c>
      <c r="D54" s="1" t="str">
        <f t="shared" si="0"/>
        <v/>
      </c>
      <c r="F54" s="52" t="e">
        <f>'Mortgage Calculator'!$G$9*((1+'Mortgage Calculator'!$P$8)^(MISC!C54-1))</f>
        <v>#VALUE!</v>
      </c>
      <c r="G54" s="70" t="e">
        <f>'Mortgage Calculator'!$U$25*((1+'Mortgage Calculator'!$S$10)^(MISC!C54-1))</f>
        <v>#VALUE!</v>
      </c>
      <c r="H54" s="52" t="e">
        <f t="shared" si="2"/>
        <v>#VALUE!</v>
      </c>
      <c r="I54" s="69" t="str">
        <f>IFERROR(IF((H54+I53)*(1+('Mortgage Calculator'!$S$12/12))&gt;R54,"stop",(H54+I53)*(1+('Mortgage Calculator'!$S$12/12))),"")</f>
        <v/>
      </c>
      <c r="M54" s="83" t="str">
        <f t="shared" si="3"/>
        <v/>
      </c>
      <c r="N54" s="83"/>
      <c r="O54" s="105" t="str">
        <f>IFERROR(M54/M54*'Mortgage Calculator'!$U$28,"")</f>
        <v/>
      </c>
      <c r="P54" s="105" t="str">
        <f>IFERROR(M54/M54*R53*'Mortgage Calculator'!$C$13/12,"")</f>
        <v/>
      </c>
      <c r="Q54" s="105" t="str">
        <f t="shared" si="4"/>
        <v/>
      </c>
      <c r="R54" s="105" t="str">
        <f t="shared" si="5"/>
        <v/>
      </c>
    </row>
    <row r="55" spans="3:18" x14ac:dyDescent="0.3">
      <c r="C55" s="1" t="e">
        <f t="shared" si="1"/>
        <v>#VALUE!</v>
      </c>
      <c r="D55" s="1" t="str">
        <f t="shared" si="0"/>
        <v/>
      </c>
      <c r="F55" s="52" t="e">
        <f>'Mortgage Calculator'!$G$9*((1+'Mortgage Calculator'!$P$8)^(MISC!C55-1))</f>
        <v>#VALUE!</v>
      </c>
      <c r="G55" s="70" t="e">
        <f>'Mortgage Calculator'!$U$25*((1+'Mortgage Calculator'!$S$10)^(MISC!C55-1))</f>
        <v>#VALUE!</v>
      </c>
      <c r="H55" s="52" t="e">
        <f t="shared" si="2"/>
        <v>#VALUE!</v>
      </c>
      <c r="I55" s="69" t="str">
        <f>IFERROR(IF((H55+I54)*(1+('Mortgage Calculator'!$S$12/12))&gt;R55,"stop",(H55+I54)*(1+('Mortgage Calculator'!$S$12/12))),"")</f>
        <v/>
      </c>
      <c r="M55" s="83" t="str">
        <f t="shared" si="3"/>
        <v/>
      </c>
      <c r="N55" s="83"/>
      <c r="O55" s="105" t="str">
        <f>IFERROR(M55/M55*'Mortgage Calculator'!$U$28,"")</f>
        <v/>
      </c>
      <c r="P55" s="105" t="str">
        <f>IFERROR(M55/M55*R54*'Mortgage Calculator'!$C$13/12,"")</f>
        <v/>
      </c>
      <c r="Q55" s="105" t="str">
        <f t="shared" si="4"/>
        <v/>
      </c>
      <c r="R55" s="105" t="str">
        <f t="shared" si="5"/>
        <v/>
      </c>
    </row>
    <row r="56" spans="3:18" x14ac:dyDescent="0.3">
      <c r="C56" s="1" t="e">
        <f t="shared" si="1"/>
        <v>#VALUE!</v>
      </c>
      <c r="D56" s="1" t="str">
        <f t="shared" si="0"/>
        <v/>
      </c>
      <c r="F56" s="52" t="e">
        <f>'Mortgage Calculator'!$G$9*((1+'Mortgage Calculator'!$P$8)^(MISC!C56-1))</f>
        <v>#VALUE!</v>
      </c>
      <c r="G56" s="70" t="e">
        <f>'Mortgage Calculator'!$U$25*((1+'Mortgage Calculator'!$S$10)^(MISC!C56-1))</f>
        <v>#VALUE!</v>
      </c>
      <c r="H56" s="52" t="e">
        <f t="shared" si="2"/>
        <v>#VALUE!</v>
      </c>
      <c r="I56" s="69" t="str">
        <f>IFERROR(IF((H56+I55)*(1+('Mortgage Calculator'!$S$12/12))&gt;R56,"stop",(H56+I55)*(1+('Mortgage Calculator'!$S$12/12))),"")</f>
        <v/>
      </c>
      <c r="M56" s="83" t="str">
        <f t="shared" si="3"/>
        <v/>
      </c>
      <c r="N56" s="83"/>
      <c r="O56" s="105" t="str">
        <f>IFERROR(M56/M56*'Mortgage Calculator'!$U$28,"")</f>
        <v/>
      </c>
      <c r="P56" s="105" t="str">
        <f>IFERROR(M56/M56*R55*'Mortgage Calculator'!$C$13/12,"")</f>
        <v/>
      </c>
      <c r="Q56" s="105" t="str">
        <f t="shared" si="4"/>
        <v/>
      </c>
      <c r="R56" s="105" t="str">
        <f t="shared" si="5"/>
        <v/>
      </c>
    </row>
    <row r="57" spans="3:18" x14ac:dyDescent="0.3">
      <c r="C57" s="1" t="e">
        <f t="shared" si="1"/>
        <v>#VALUE!</v>
      </c>
      <c r="D57" s="1" t="str">
        <f t="shared" si="0"/>
        <v/>
      </c>
      <c r="F57" s="52" t="e">
        <f>'Mortgage Calculator'!$G$9*((1+'Mortgage Calculator'!$P$8)^(MISC!C57-1))</f>
        <v>#VALUE!</v>
      </c>
      <c r="G57" s="70" t="e">
        <f>'Mortgage Calculator'!$U$25*((1+'Mortgage Calculator'!$S$10)^(MISC!C57-1))</f>
        <v>#VALUE!</v>
      </c>
      <c r="H57" s="52" t="e">
        <f t="shared" si="2"/>
        <v>#VALUE!</v>
      </c>
      <c r="I57" s="69" t="str">
        <f>IFERROR(IF((H57+I56)*(1+('Mortgage Calculator'!$S$12/12))&gt;R57,"stop",(H57+I56)*(1+('Mortgage Calculator'!$S$12/12))),"")</f>
        <v/>
      </c>
      <c r="M57" s="83" t="str">
        <f t="shared" si="3"/>
        <v/>
      </c>
      <c r="N57" s="83"/>
      <c r="O57" s="105" t="str">
        <f>IFERROR(M57/M57*'Mortgage Calculator'!$U$28,"")</f>
        <v/>
      </c>
      <c r="P57" s="105" t="str">
        <f>IFERROR(M57/M57*R56*'Mortgage Calculator'!$C$13/12,"")</f>
        <v/>
      </c>
      <c r="Q57" s="105" t="str">
        <f t="shared" si="4"/>
        <v/>
      </c>
      <c r="R57" s="105" t="str">
        <f t="shared" si="5"/>
        <v/>
      </c>
    </row>
    <row r="58" spans="3:18" x14ac:dyDescent="0.3">
      <c r="C58" s="1" t="e">
        <f t="shared" si="1"/>
        <v>#VALUE!</v>
      </c>
      <c r="D58" s="1" t="str">
        <f t="shared" si="0"/>
        <v/>
      </c>
      <c r="F58" s="52" t="e">
        <f>'Mortgage Calculator'!$G$9*((1+'Mortgage Calculator'!$P$8)^(MISC!C58-1))</f>
        <v>#VALUE!</v>
      </c>
      <c r="G58" s="70" t="e">
        <f>'Mortgage Calculator'!$U$25*((1+'Mortgage Calculator'!$S$10)^(MISC!C58-1))</f>
        <v>#VALUE!</v>
      </c>
      <c r="H58" s="52" t="e">
        <f t="shared" si="2"/>
        <v>#VALUE!</v>
      </c>
      <c r="I58" s="69" t="str">
        <f>IFERROR(IF((H58+I57)*(1+('Mortgage Calculator'!$S$12/12))&gt;R58,"stop",(H58+I57)*(1+('Mortgage Calculator'!$S$12/12))),"")</f>
        <v/>
      </c>
      <c r="M58" s="83" t="str">
        <f t="shared" si="3"/>
        <v/>
      </c>
      <c r="N58" s="83"/>
      <c r="O58" s="105" t="str">
        <f>IFERROR(M58/M58*'Mortgage Calculator'!$U$28,"")</f>
        <v/>
      </c>
      <c r="P58" s="105" t="str">
        <f>IFERROR(M58/M58*R57*'Mortgage Calculator'!$C$13/12,"")</f>
        <v/>
      </c>
      <c r="Q58" s="105" t="str">
        <f t="shared" si="4"/>
        <v/>
      </c>
      <c r="R58" s="105" t="str">
        <f t="shared" si="5"/>
        <v/>
      </c>
    </row>
    <row r="59" spans="3:18" x14ac:dyDescent="0.3">
      <c r="C59" s="1" t="e">
        <f t="shared" si="1"/>
        <v>#VALUE!</v>
      </c>
      <c r="D59" s="1" t="str">
        <f t="shared" si="0"/>
        <v/>
      </c>
      <c r="F59" s="52" t="e">
        <f>'Mortgage Calculator'!$G$9*((1+'Mortgage Calculator'!$P$8)^(MISC!C59-1))</f>
        <v>#VALUE!</v>
      </c>
      <c r="G59" s="70" t="e">
        <f>'Mortgage Calculator'!$U$25*((1+'Mortgage Calculator'!$S$10)^(MISC!C59-1))</f>
        <v>#VALUE!</v>
      </c>
      <c r="H59" s="52" t="e">
        <f t="shared" si="2"/>
        <v>#VALUE!</v>
      </c>
      <c r="I59" s="69" t="str">
        <f>IFERROR(IF((H59+I58)*(1+('Mortgage Calculator'!$S$12/12))&gt;R59,"stop",(H59+I58)*(1+('Mortgage Calculator'!$S$12/12))),"")</f>
        <v/>
      </c>
      <c r="M59" s="83" t="str">
        <f t="shared" si="3"/>
        <v/>
      </c>
      <c r="N59" s="83"/>
      <c r="O59" s="105" t="str">
        <f>IFERROR(M59/M59*'Mortgage Calculator'!$U$28,"")</f>
        <v/>
      </c>
      <c r="P59" s="105" t="str">
        <f>IFERROR(M59/M59*R58*'Mortgage Calculator'!$C$13/12,"")</f>
        <v/>
      </c>
      <c r="Q59" s="105" t="str">
        <f t="shared" si="4"/>
        <v/>
      </c>
      <c r="R59" s="105" t="str">
        <f t="shared" si="5"/>
        <v/>
      </c>
    </row>
    <row r="60" spans="3:18" x14ac:dyDescent="0.3">
      <c r="C60" s="1" t="e">
        <f t="shared" si="1"/>
        <v>#VALUE!</v>
      </c>
      <c r="D60" s="1" t="str">
        <f t="shared" si="0"/>
        <v/>
      </c>
      <c r="F60" s="52" t="e">
        <f>'Mortgage Calculator'!$G$9*((1+'Mortgage Calculator'!$P$8)^(MISC!C60-1))</f>
        <v>#VALUE!</v>
      </c>
      <c r="G60" s="70" t="e">
        <f>'Mortgage Calculator'!$U$25*((1+'Mortgage Calculator'!$S$10)^(MISC!C60-1))</f>
        <v>#VALUE!</v>
      </c>
      <c r="H60" s="52" t="e">
        <f t="shared" si="2"/>
        <v>#VALUE!</v>
      </c>
      <c r="I60" s="69" t="str">
        <f>IFERROR(IF((H60+I59)*(1+('Mortgage Calculator'!$S$12/12))&gt;R60,"stop",(H60+I59)*(1+('Mortgage Calculator'!$S$12/12))),"")</f>
        <v/>
      </c>
      <c r="M60" s="83" t="str">
        <f t="shared" si="3"/>
        <v/>
      </c>
      <c r="N60" s="83"/>
      <c r="O60" s="105" t="str">
        <f>IFERROR(M60/M60*'Mortgage Calculator'!$U$28,"")</f>
        <v/>
      </c>
      <c r="P60" s="105" t="str">
        <f>IFERROR(M60/M60*R59*'Mortgage Calculator'!$C$13/12,"")</f>
        <v/>
      </c>
      <c r="Q60" s="105" t="str">
        <f t="shared" si="4"/>
        <v/>
      </c>
      <c r="R60" s="105" t="str">
        <f t="shared" si="5"/>
        <v/>
      </c>
    </row>
    <row r="61" spans="3:18" x14ac:dyDescent="0.3">
      <c r="C61" s="1" t="e">
        <f t="shared" si="1"/>
        <v>#VALUE!</v>
      </c>
      <c r="D61" s="1" t="str">
        <f t="shared" si="0"/>
        <v/>
      </c>
      <c r="F61" s="52" t="e">
        <f>'Mortgage Calculator'!$G$9*((1+'Mortgage Calculator'!$P$8)^(MISC!C61-1))</f>
        <v>#VALUE!</v>
      </c>
      <c r="G61" s="70" t="e">
        <f>'Mortgage Calculator'!$U$25*((1+'Mortgage Calculator'!$S$10)^(MISC!C61-1))</f>
        <v>#VALUE!</v>
      </c>
      <c r="H61" s="52" t="e">
        <f t="shared" si="2"/>
        <v>#VALUE!</v>
      </c>
      <c r="I61" s="69" t="str">
        <f>IFERROR(IF((H61+I60)*(1+('Mortgage Calculator'!$S$12/12))&gt;R61,"stop",(H61+I60)*(1+('Mortgage Calculator'!$S$12/12))),"")</f>
        <v/>
      </c>
      <c r="M61" s="83" t="str">
        <f t="shared" si="3"/>
        <v/>
      </c>
      <c r="N61" s="83"/>
      <c r="O61" s="105" t="str">
        <f>IFERROR(M61/M61*'Mortgage Calculator'!$U$28,"")</f>
        <v/>
      </c>
      <c r="P61" s="105" t="str">
        <f>IFERROR(M61/M61*R60*'Mortgage Calculator'!$C$13/12,"")</f>
        <v/>
      </c>
      <c r="Q61" s="105" t="str">
        <f t="shared" si="4"/>
        <v/>
      </c>
      <c r="R61" s="105" t="str">
        <f t="shared" si="5"/>
        <v/>
      </c>
    </row>
    <row r="62" spans="3:18" x14ac:dyDescent="0.3">
      <c r="C62" s="1" t="e">
        <f t="shared" si="1"/>
        <v>#VALUE!</v>
      </c>
      <c r="D62" s="1" t="str">
        <f t="shared" si="0"/>
        <v/>
      </c>
      <c r="F62" s="52" t="e">
        <f>'Mortgage Calculator'!$G$9*((1+'Mortgage Calculator'!$P$8)^(MISC!C62-1))</f>
        <v>#VALUE!</v>
      </c>
      <c r="G62" s="70" t="e">
        <f>'Mortgage Calculator'!$U$25*((1+'Mortgage Calculator'!$S$10)^(MISC!C62-1))</f>
        <v>#VALUE!</v>
      </c>
      <c r="H62" s="52" t="e">
        <f t="shared" si="2"/>
        <v>#VALUE!</v>
      </c>
      <c r="I62" s="69" t="str">
        <f>IFERROR(IF((H62+I61)*(1+('Mortgage Calculator'!$S$12/12))&gt;R62,"stop",(H62+I61)*(1+('Mortgage Calculator'!$S$12/12))),"")</f>
        <v/>
      </c>
      <c r="M62" s="83" t="str">
        <f t="shared" si="3"/>
        <v/>
      </c>
      <c r="N62" s="83"/>
      <c r="O62" s="105" t="str">
        <f>IFERROR(M62/M62*'Mortgage Calculator'!$U$28,"")</f>
        <v/>
      </c>
      <c r="P62" s="105" t="str">
        <f>IFERROR(M62/M62*R61*'Mortgage Calculator'!$C$13/12,"")</f>
        <v/>
      </c>
      <c r="Q62" s="105" t="str">
        <f t="shared" si="4"/>
        <v/>
      </c>
      <c r="R62" s="105" t="str">
        <f t="shared" si="5"/>
        <v/>
      </c>
    </row>
    <row r="63" spans="3:18" x14ac:dyDescent="0.3">
      <c r="C63" s="1" t="e">
        <f t="shared" si="1"/>
        <v>#VALUE!</v>
      </c>
      <c r="D63" s="1" t="str">
        <f t="shared" si="0"/>
        <v/>
      </c>
      <c r="F63" s="52" t="e">
        <f>'Mortgage Calculator'!$G$9*((1+'Mortgage Calculator'!$P$8)^(MISC!C63-1))</f>
        <v>#VALUE!</v>
      </c>
      <c r="G63" s="70" t="e">
        <f>'Mortgage Calculator'!$U$25*((1+'Mortgage Calculator'!$S$10)^(MISC!C63-1))</f>
        <v>#VALUE!</v>
      </c>
      <c r="H63" s="52" t="e">
        <f t="shared" si="2"/>
        <v>#VALUE!</v>
      </c>
      <c r="I63" s="69" t="str">
        <f>IFERROR(IF((H63+I62)*(1+('Mortgage Calculator'!$S$12/12))&gt;R63,"stop",(H63+I62)*(1+('Mortgage Calculator'!$S$12/12))),"")</f>
        <v/>
      </c>
      <c r="M63" s="83" t="str">
        <f t="shared" si="3"/>
        <v/>
      </c>
      <c r="N63" s="83"/>
      <c r="O63" s="105" t="str">
        <f>IFERROR(M63/M63*'Mortgage Calculator'!$U$28,"")</f>
        <v/>
      </c>
      <c r="P63" s="105" t="str">
        <f>IFERROR(M63/M63*R62*'Mortgage Calculator'!$C$13/12,"")</f>
        <v/>
      </c>
      <c r="Q63" s="105" t="str">
        <f t="shared" si="4"/>
        <v/>
      </c>
      <c r="R63" s="105" t="str">
        <f t="shared" si="5"/>
        <v/>
      </c>
    </row>
    <row r="64" spans="3:18" x14ac:dyDescent="0.3">
      <c r="C64" s="1" t="e">
        <f t="shared" si="1"/>
        <v>#VALUE!</v>
      </c>
      <c r="D64" s="1" t="str">
        <f t="shared" si="0"/>
        <v/>
      </c>
      <c r="F64" s="52" t="e">
        <f>'Mortgage Calculator'!$G$9*((1+'Mortgage Calculator'!$P$8)^(MISC!C64-1))</f>
        <v>#VALUE!</v>
      </c>
      <c r="G64" s="70" t="e">
        <f>'Mortgage Calculator'!$U$25*((1+'Mortgage Calculator'!$S$10)^(MISC!C64-1))</f>
        <v>#VALUE!</v>
      </c>
      <c r="H64" s="52" t="e">
        <f t="shared" si="2"/>
        <v>#VALUE!</v>
      </c>
      <c r="I64" s="69" t="str">
        <f>IFERROR(IF((H64+I63)*(1+('Mortgage Calculator'!$S$12/12))&gt;R64,"stop",(H64+I63)*(1+('Mortgage Calculator'!$S$12/12))),"")</f>
        <v/>
      </c>
      <c r="M64" s="83" t="str">
        <f t="shared" si="3"/>
        <v/>
      </c>
      <c r="N64" s="83"/>
      <c r="O64" s="105" t="str">
        <f>IFERROR(M64/M64*'Mortgage Calculator'!$U$28,"")</f>
        <v/>
      </c>
      <c r="P64" s="105" t="str">
        <f>IFERROR(M64/M64*R63*'Mortgage Calculator'!$C$13/12,"")</f>
        <v/>
      </c>
      <c r="Q64" s="105" t="str">
        <f t="shared" si="4"/>
        <v/>
      </c>
      <c r="R64" s="105" t="str">
        <f t="shared" si="5"/>
        <v/>
      </c>
    </row>
    <row r="65" spans="3:19" x14ac:dyDescent="0.3">
      <c r="C65" s="1" t="e">
        <f t="shared" si="1"/>
        <v>#VALUE!</v>
      </c>
      <c r="D65" s="1" t="str">
        <f t="shared" si="0"/>
        <v/>
      </c>
      <c r="F65" s="52" t="e">
        <f>'Mortgage Calculator'!$G$9*((1+'Mortgage Calculator'!$P$8)^(MISC!C65-1))</f>
        <v>#VALUE!</v>
      </c>
      <c r="G65" s="70" t="e">
        <f>'Mortgage Calculator'!$U$25*((1+'Mortgage Calculator'!$S$10)^(MISC!C65-1))</f>
        <v>#VALUE!</v>
      </c>
      <c r="H65" s="52" t="e">
        <f t="shared" si="2"/>
        <v>#VALUE!</v>
      </c>
      <c r="I65" s="69" t="str">
        <f>IFERROR(IF((H65+I64)*(1+('Mortgage Calculator'!$S$12/12))&gt;R65,"stop",(H65+I64)*(1+('Mortgage Calculator'!$S$12/12))),"")</f>
        <v/>
      </c>
      <c r="M65" s="83" t="str">
        <f t="shared" si="3"/>
        <v/>
      </c>
      <c r="N65" s="83"/>
      <c r="O65" s="105" t="str">
        <f>IFERROR(M65/M65*'Mortgage Calculator'!$U$28,"")</f>
        <v/>
      </c>
      <c r="P65" s="105" t="str">
        <f>IFERROR(M65/M65*R64*'Mortgage Calculator'!$C$13/12,"")</f>
        <v/>
      </c>
      <c r="Q65" s="105" t="str">
        <f t="shared" si="4"/>
        <v/>
      </c>
      <c r="R65" s="105" t="str">
        <f t="shared" si="5"/>
        <v/>
      </c>
    </row>
    <row r="66" spans="3:19" x14ac:dyDescent="0.3">
      <c r="C66" s="1" t="e">
        <f t="shared" si="1"/>
        <v>#VALUE!</v>
      </c>
      <c r="D66" s="1" t="str">
        <f t="shared" si="0"/>
        <v/>
      </c>
      <c r="F66" s="52" t="e">
        <f>'Mortgage Calculator'!$G$9*((1+'Mortgage Calculator'!$P$8)^(MISC!C66-1))</f>
        <v>#VALUE!</v>
      </c>
      <c r="G66" s="70" t="e">
        <f>'Mortgage Calculator'!$U$25*((1+'Mortgage Calculator'!$S$10)^(MISC!C66-1))</f>
        <v>#VALUE!</v>
      </c>
      <c r="H66" s="52" t="e">
        <f t="shared" si="2"/>
        <v>#VALUE!</v>
      </c>
      <c r="I66" s="69" t="str">
        <f>IFERROR(IF((H66+I65)*(1+('Mortgage Calculator'!$S$12/12))&gt;R66,"stop",(H66+I65)*(1+('Mortgage Calculator'!$S$12/12))),"")</f>
        <v/>
      </c>
      <c r="M66" s="83" t="str">
        <f t="shared" si="3"/>
        <v/>
      </c>
      <c r="N66" s="83"/>
      <c r="O66" s="105" t="str">
        <f>IFERROR(M66/M66*'Mortgage Calculator'!$U$28,"")</f>
        <v/>
      </c>
      <c r="P66" s="105" t="str">
        <f>IFERROR(M66/M66*R65*'Mortgage Calculator'!$C$13/12,"")</f>
        <v/>
      </c>
      <c r="Q66" s="105" t="str">
        <f t="shared" si="4"/>
        <v/>
      </c>
      <c r="R66" s="105" t="str">
        <f t="shared" si="5"/>
        <v/>
      </c>
    </row>
    <row r="67" spans="3:19" x14ac:dyDescent="0.3">
      <c r="C67" s="1" t="e">
        <f t="shared" si="1"/>
        <v>#VALUE!</v>
      </c>
      <c r="D67" s="1" t="str">
        <f t="shared" si="0"/>
        <v/>
      </c>
      <c r="F67" s="52" t="e">
        <f>'Mortgage Calculator'!$G$9*((1+'Mortgage Calculator'!$P$8)^(MISC!C67-1))</f>
        <v>#VALUE!</v>
      </c>
      <c r="G67" s="70" t="e">
        <f>'Mortgage Calculator'!$U$25*((1+'Mortgage Calculator'!$S$10)^(MISC!C67-1))</f>
        <v>#VALUE!</v>
      </c>
      <c r="H67" s="52" t="e">
        <f t="shared" si="2"/>
        <v>#VALUE!</v>
      </c>
      <c r="I67" s="69" t="str">
        <f>IFERROR(IF((H67+I66)*(1+('Mortgage Calculator'!$S$12/12))&gt;R67,"stop",(H67+I66)*(1+('Mortgage Calculator'!$S$12/12))),"")</f>
        <v/>
      </c>
      <c r="M67" s="83" t="str">
        <f t="shared" si="3"/>
        <v/>
      </c>
      <c r="N67" s="83"/>
      <c r="O67" s="105" t="str">
        <f>IFERROR(M67/M67*'Mortgage Calculator'!$U$28,"")</f>
        <v/>
      </c>
      <c r="P67" s="105" t="str">
        <f>IFERROR(M67/M67*R66*'Mortgage Calculator'!$C$13/12,"")</f>
        <v/>
      </c>
      <c r="Q67" s="105" t="str">
        <f t="shared" si="4"/>
        <v/>
      </c>
      <c r="R67" s="105" t="str">
        <f t="shared" si="5"/>
        <v/>
      </c>
    </row>
    <row r="68" spans="3:19" x14ac:dyDescent="0.3">
      <c r="C68" s="1" t="e">
        <f t="shared" si="1"/>
        <v>#VALUE!</v>
      </c>
      <c r="D68" s="1" t="str">
        <f t="shared" si="0"/>
        <v/>
      </c>
      <c r="F68" s="52" t="e">
        <f>'Mortgage Calculator'!$G$9*((1+'Mortgage Calculator'!$P$8)^(MISC!C68-1))</f>
        <v>#VALUE!</v>
      </c>
      <c r="G68" s="70" t="e">
        <f>'Mortgage Calculator'!$U$25*((1+'Mortgage Calculator'!$S$10)^(MISC!C68-1))</f>
        <v>#VALUE!</v>
      </c>
      <c r="H68" s="52" t="e">
        <f t="shared" si="2"/>
        <v>#VALUE!</v>
      </c>
      <c r="I68" s="69" t="str">
        <f>IFERROR(IF((H68+I67)*(1+('Mortgage Calculator'!$S$12/12))&gt;R68,"stop",(H68+I67)*(1+('Mortgage Calculator'!$S$12/12))),"")</f>
        <v/>
      </c>
      <c r="M68" s="83" t="str">
        <f t="shared" si="3"/>
        <v/>
      </c>
      <c r="N68" s="83"/>
      <c r="O68" s="105" t="str">
        <f>IFERROR(M68/M68*'Mortgage Calculator'!$U$28,"")</f>
        <v/>
      </c>
      <c r="P68" s="105" t="str">
        <f>IFERROR(M68/M68*R67*'Mortgage Calculator'!$C$13/12,"")</f>
        <v/>
      </c>
      <c r="Q68" s="105" t="str">
        <f t="shared" si="4"/>
        <v/>
      </c>
      <c r="R68" s="105" t="str">
        <f t="shared" si="5"/>
        <v/>
      </c>
    </row>
    <row r="69" spans="3:19" x14ac:dyDescent="0.3">
      <c r="C69" s="1" t="e">
        <f t="shared" si="1"/>
        <v>#VALUE!</v>
      </c>
      <c r="D69" s="1" t="str">
        <f t="shared" si="0"/>
        <v/>
      </c>
      <c r="F69" s="52" t="e">
        <f>'Mortgage Calculator'!$G$9*((1+'Mortgage Calculator'!$P$8)^(MISC!C69-1))</f>
        <v>#VALUE!</v>
      </c>
      <c r="G69" s="70" t="e">
        <f>'Mortgage Calculator'!$U$25*((1+'Mortgage Calculator'!$S$10)^(MISC!C69-1))</f>
        <v>#VALUE!</v>
      </c>
      <c r="H69" s="52" t="e">
        <f t="shared" si="2"/>
        <v>#VALUE!</v>
      </c>
      <c r="I69" s="69" t="str">
        <f>IFERROR(IF((H69+I68)*(1+('Mortgage Calculator'!$S$12/12))&gt;R69,"stop",(H69+I68)*(1+('Mortgage Calculator'!$S$12/12))),"")</f>
        <v/>
      </c>
      <c r="M69" s="83" t="str">
        <f t="shared" si="3"/>
        <v/>
      </c>
      <c r="N69" s="83"/>
      <c r="O69" s="105" t="str">
        <f>IFERROR(M69/M69*'Mortgage Calculator'!$U$28,"")</f>
        <v/>
      </c>
      <c r="P69" s="105" t="str">
        <f>IFERROR(M69/M69*R68*'Mortgage Calculator'!$C$13/12,"")</f>
        <v/>
      </c>
      <c r="Q69" s="105" t="str">
        <f t="shared" si="4"/>
        <v/>
      </c>
      <c r="R69" s="105" t="str">
        <f t="shared" si="5"/>
        <v/>
      </c>
    </row>
    <row r="70" spans="3:19" x14ac:dyDescent="0.3">
      <c r="C70" s="1" t="e">
        <f t="shared" si="1"/>
        <v>#VALUE!</v>
      </c>
      <c r="D70" s="1" t="str">
        <f t="shared" si="0"/>
        <v/>
      </c>
      <c r="F70" s="52" t="e">
        <f>'Mortgage Calculator'!$G$9*((1+'Mortgage Calculator'!$P$8)^(MISC!C70-1))</f>
        <v>#VALUE!</v>
      </c>
      <c r="G70" s="70" t="e">
        <f>'Mortgage Calculator'!$U$25*((1+'Mortgage Calculator'!$S$10)^(MISC!C70-1))</f>
        <v>#VALUE!</v>
      </c>
      <c r="H70" s="52" t="e">
        <f t="shared" si="2"/>
        <v>#VALUE!</v>
      </c>
      <c r="I70" s="69" t="str">
        <f>IFERROR(IF((H70+I69)*(1+('Mortgage Calculator'!$S$12/12))&gt;R70,"stop",(H70+I69)*(1+('Mortgage Calculator'!$S$12/12))),"")</f>
        <v/>
      </c>
      <c r="M70" s="83" t="str">
        <f t="shared" si="3"/>
        <v/>
      </c>
      <c r="N70" s="83"/>
      <c r="O70" s="105" t="str">
        <f>IFERROR(M70/M70*'Mortgage Calculator'!$U$28,"")</f>
        <v/>
      </c>
      <c r="P70" s="105" t="str">
        <f>IFERROR(M70/M70*R69*'Mortgage Calculator'!$C$13/12,"")</f>
        <v/>
      </c>
      <c r="Q70" s="105" t="str">
        <f t="shared" si="4"/>
        <v/>
      </c>
      <c r="R70" s="105" t="str">
        <f t="shared" si="5"/>
        <v/>
      </c>
    </row>
    <row r="71" spans="3:19" x14ac:dyDescent="0.3">
      <c r="C71" s="1" t="e">
        <f t="shared" si="1"/>
        <v>#VALUE!</v>
      </c>
      <c r="D71" s="1" t="str">
        <f t="shared" si="0"/>
        <v/>
      </c>
      <c r="F71" s="52" t="e">
        <f>'Mortgage Calculator'!$G$9*((1+'Mortgage Calculator'!$P$8)^(MISC!C71-1))</f>
        <v>#VALUE!</v>
      </c>
      <c r="G71" s="70" t="e">
        <f>'Mortgage Calculator'!$U$25*((1+'Mortgage Calculator'!$S$10)^(MISC!C71-1))</f>
        <v>#VALUE!</v>
      </c>
      <c r="H71" s="52" t="e">
        <f t="shared" si="2"/>
        <v>#VALUE!</v>
      </c>
      <c r="I71" s="69" t="str">
        <f>IFERROR(IF((H71+I70)*(1+('Mortgage Calculator'!$S$12/12))&gt;R71,"stop",(H71+I70)*(1+('Mortgage Calculator'!$S$12/12))),"")</f>
        <v/>
      </c>
      <c r="M71" s="83" t="str">
        <f t="shared" si="3"/>
        <v/>
      </c>
      <c r="N71" s="83"/>
      <c r="O71" s="105" t="str">
        <f>IFERROR(M71/M71*'Mortgage Calculator'!$U$28,"")</f>
        <v/>
      </c>
      <c r="P71" s="105" t="str">
        <f>IFERROR(M71/M71*R70*'Mortgage Calculator'!$C$13/12,"")</f>
        <v/>
      </c>
      <c r="Q71" s="105" t="str">
        <f t="shared" si="4"/>
        <v/>
      </c>
      <c r="R71" s="105" t="str">
        <f t="shared" si="5"/>
        <v/>
      </c>
    </row>
    <row r="72" spans="3:19" x14ac:dyDescent="0.3">
      <c r="C72" s="1" t="e">
        <f t="shared" si="1"/>
        <v>#VALUE!</v>
      </c>
      <c r="D72" s="1" t="str">
        <f t="shared" si="0"/>
        <v/>
      </c>
      <c r="F72" s="52" t="e">
        <f>'Mortgage Calculator'!$G$9*((1+'Mortgage Calculator'!$P$8)^(MISC!C72-1))</f>
        <v>#VALUE!</v>
      </c>
      <c r="G72" s="70" t="e">
        <f>'Mortgage Calculator'!$U$25*((1+'Mortgage Calculator'!$S$10)^(MISC!C72-1))</f>
        <v>#VALUE!</v>
      </c>
      <c r="H72" s="52" t="e">
        <f t="shared" si="2"/>
        <v>#VALUE!</v>
      </c>
      <c r="I72" s="69" t="str">
        <f>IFERROR(IF((H72+I71)*(1+('Mortgage Calculator'!$S$12/12))&gt;R72,"stop",(H72+I71)*(1+('Mortgage Calculator'!$S$12/12))),"")</f>
        <v/>
      </c>
      <c r="M72" s="83" t="str">
        <f t="shared" si="3"/>
        <v/>
      </c>
      <c r="N72" s="83"/>
      <c r="O72" s="105" t="str">
        <f>IFERROR(M72/M72*'Mortgage Calculator'!$U$28,"")</f>
        <v/>
      </c>
      <c r="P72" s="105" t="str">
        <f>IFERROR(M72/M72*R71*'Mortgage Calculator'!$C$13/12,"")</f>
        <v/>
      </c>
      <c r="Q72" s="105" t="str">
        <f t="shared" si="4"/>
        <v/>
      </c>
      <c r="R72" s="105" t="str">
        <f t="shared" si="5"/>
        <v/>
      </c>
    </row>
    <row r="73" spans="3:19" x14ac:dyDescent="0.3">
      <c r="C73" s="1" t="e">
        <f t="shared" si="1"/>
        <v>#VALUE!</v>
      </c>
      <c r="D73" s="1" t="str">
        <f t="shared" si="0"/>
        <v/>
      </c>
      <c r="F73" s="52" t="e">
        <f>'Mortgage Calculator'!$G$9*((1+'Mortgage Calculator'!$P$8)^(MISC!C73-1))</f>
        <v>#VALUE!</v>
      </c>
      <c r="G73" s="70" t="e">
        <f>'Mortgage Calculator'!$U$25*((1+'Mortgage Calculator'!$S$10)^(MISC!C73-1))</f>
        <v>#VALUE!</v>
      </c>
      <c r="H73" s="52" t="e">
        <f t="shared" si="2"/>
        <v>#VALUE!</v>
      </c>
      <c r="I73" s="69" t="str">
        <f>IFERROR(IF((H73+I72)*(1+('Mortgage Calculator'!$S$12/12))&gt;R73,"stop",(H73+I72)*(1+('Mortgage Calculator'!$S$12/12))),"")</f>
        <v/>
      </c>
      <c r="M73" s="83" t="str">
        <f t="shared" si="3"/>
        <v/>
      </c>
      <c r="N73" s="83"/>
      <c r="O73" s="105" t="str">
        <f>IFERROR(M73/M73*'Mortgage Calculator'!$U$28,"")</f>
        <v/>
      </c>
      <c r="P73" s="105" t="str">
        <f>IFERROR(M73/M73*R72*'Mortgage Calculator'!$C$13/12,"")</f>
        <v/>
      </c>
      <c r="Q73" s="105" t="str">
        <f t="shared" si="4"/>
        <v/>
      </c>
      <c r="R73" s="105" t="str">
        <f t="shared" si="5"/>
        <v/>
      </c>
    </row>
    <row r="74" spans="3:19" x14ac:dyDescent="0.3">
      <c r="C74" s="1" t="e">
        <f t="shared" si="1"/>
        <v>#VALUE!</v>
      </c>
      <c r="D74" s="1" t="str">
        <f t="shared" ref="D74:D137" si="6">IF(E74="","",ROW()-9)</f>
        <v/>
      </c>
      <c r="F74" s="52" t="e">
        <f>'Mortgage Calculator'!$G$9*((1+'Mortgage Calculator'!$P$8)^(MISC!C74-1))</f>
        <v>#VALUE!</v>
      </c>
      <c r="G74" s="70" t="e">
        <f>'Mortgage Calculator'!$U$25*((1+'Mortgage Calculator'!$S$10)^(MISC!C74-1))</f>
        <v>#VALUE!</v>
      </c>
      <c r="H74" s="52" t="e">
        <f t="shared" si="2"/>
        <v>#VALUE!</v>
      </c>
      <c r="I74" s="69" t="str">
        <f>IFERROR(IF((H74+I73)*(1+('Mortgage Calculator'!$S$12/12))&gt;R74,"stop",(H74+I73)*(1+('Mortgage Calculator'!$S$12/12))),"")</f>
        <v/>
      </c>
      <c r="M74" s="83" t="str">
        <f t="shared" si="3"/>
        <v/>
      </c>
      <c r="N74" s="83"/>
      <c r="O74" s="105" t="str">
        <f>IFERROR(M74/M74*'Mortgage Calculator'!$U$28,"")</f>
        <v/>
      </c>
      <c r="P74" s="105" t="str">
        <f>IFERROR(M74/M74*R73*'Mortgage Calculator'!$C$13/12,"")</f>
        <v/>
      </c>
      <c r="Q74" s="105" t="str">
        <f t="shared" si="4"/>
        <v/>
      </c>
      <c r="R74" s="105" t="str">
        <f t="shared" si="5"/>
        <v/>
      </c>
    </row>
    <row r="75" spans="3:19" x14ac:dyDescent="0.3">
      <c r="C75" s="1" t="e">
        <f t="shared" ref="C75:C138" si="7">ROUNDUP(D75/12,0)</f>
        <v>#VALUE!</v>
      </c>
      <c r="D75" s="1" t="str">
        <f t="shared" si="6"/>
        <v/>
      </c>
      <c r="F75" s="52" t="e">
        <f>'Mortgage Calculator'!$G$9*((1+'Mortgage Calculator'!$P$8)^(MISC!C75-1))</f>
        <v>#VALUE!</v>
      </c>
      <c r="G75" s="70" t="e">
        <f>'Mortgage Calculator'!$U$25*((1+'Mortgage Calculator'!$S$10)^(MISC!C75-1))</f>
        <v>#VALUE!</v>
      </c>
      <c r="H75" s="52" t="e">
        <f t="shared" ref="H75:H138" si="8">F75-G75</f>
        <v>#VALUE!</v>
      </c>
      <c r="I75" s="69" t="str">
        <f>IFERROR(IF((H75+I74)*(1+('Mortgage Calculator'!$S$12/12))&gt;R75,"stop",(H75+I74)*(1+('Mortgage Calculator'!$S$12/12))),"")</f>
        <v/>
      </c>
      <c r="M75" s="83" t="str">
        <f t="shared" ref="M75:M138" si="9">IF(N75="","",ROW()-9)</f>
        <v/>
      </c>
      <c r="N75" s="83"/>
      <c r="O75" s="105" t="str">
        <f>IFERROR(M75/M75*'Mortgage Calculator'!$U$28,"")</f>
        <v/>
      </c>
      <c r="P75" s="105" t="str">
        <f>IFERROR(M75/M75*R74*'Mortgage Calculator'!$C$13/12,"")</f>
        <v/>
      </c>
      <c r="Q75" s="105" t="str">
        <f t="shared" ref="Q75:Q138" si="10">IFERROR(O75-P75,"")</f>
        <v/>
      </c>
      <c r="R75" s="105" t="str">
        <f t="shared" ref="R75:R138" si="11">IFERROR(R74-Q75,"")</f>
        <v/>
      </c>
      <c r="S75" s="52"/>
    </row>
    <row r="76" spans="3:19" x14ac:dyDescent="0.3">
      <c r="C76" s="1" t="e">
        <f t="shared" si="7"/>
        <v>#VALUE!</v>
      </c>
      <c r="D76" s="1" t="str">
        <f t="shared" si="6"/>
        <v/>
      </c>
      <c r="F76" s="52" t="e">
        <f>'Mortgage Calculator'!$G$9*((1+'Mortgage Calculator'!$P$8)^(MISC!C76-1))</f>
        <v>#VALUE!</v>
      </c>
      <c r="G76" s="70" t="e">
        <f>'Mortgage Calculator'!$U$25*((1+'Mortgage Calculator'!$S$10)^(MISC!C76-1))</f>
        <v>#VALUE!</v>
      </c>
      <c r="H76" s="52" t="e">
        <f t="shared" si="8"/>
        <v>#VALUE!</v>
      </c>
      <c r="I76" s="69" t="str">
        <f>IFERROR(IF((H76+I75)*(1+('Mortgage Calculator'!$S$12/12))&gt;R76,"stop",(H76+I75)*(1+('Mortgage Calculator'!$S$12/12))),"")</f>
        <v/>
      </c>
      <c r="M76" s="83" t="str">
        <f t="shared" si="9"/>
        <v/>
      </c>
      <c r="N76" s="83"/>
      <c r="O76" s="105" t="str">
        <f>IFERROR(M76/M76*'Mortgage Calculator'!$U$28,"")</f>
        <v/>
      </c>
      <c r="P76" s="105" t="str">
        <f>IFERROR(M76/M76*R75*'Mortgage Calculator'!$C$13/12,"")</f>
        <v/>
      </c>
      <c r="Q76" s="105" t="str">
        <f t="shared" si="10"/>
        <v/>
      </c>
      <c r="R76" s="105" t="str">
        <f t="shared" si="11"/>
        <v/>
      </c>
    </row>
    <row r="77" spans="3:19" x14ac:dyDescent="0.3">
      <c r="C77" s="1" t="e">
        <f t="shared" si="7"/>
        <v>#VALUE!</v>
      </c>
      <c r="D77" s="1" t="str">
        <f t="shared" si="6"/>
        <v/>
      </c>
      <c r="F77" s="52" t="e">
        <f>'Mortgage Calculator'!$G$9*((1+'Mortgage Calculator'!$P$8)^(MISC!C77-1))</f>
        <v>#VALUE!</v>
      </c>
      <c r="G77" s="70" t="e">
        <f>'Mortgage Calculator'!$U$25*((1+'Mortgage Calculator'!$S$10)^(MISC!C77-1))</f>
        <v>#VALUE!</v>
      </c>
      <c r="H77" s="52" t="e">
        <f t="shared" si="8"/>
        <v>#VALUE!</v>
      </c>
      <c r="I77" s="69" t="str">
        <f>IFERROR(IF((H77+I76)*(1+('Mortgage Calculator'!$S$12/12))&gt;R77,"stop",(H77+I76)*(1+('Mortgage Calculator'!$S$12/12))),"")</f>
        <v/>
      </c>
      <c r="M77" s="83" t="str">
        <f t="shared" si="9"/>
        <v/>
      </c>
      <c r="N77" s="83"/>
      <c r="O77" s="105" t="str">
        <f>IFERROR(M77/M77*'Mortgage Calculator'!$U$28,"")</f>
        <v/>
      </c>
      <c r="P77" s="105" t="str">
        <f>IFERROR(M77/M77*R76*'Mortgage Calculator'!$C$13/12,"")</f>
        <v/>
      </c>
      <c r="Q77" s="105" t="str">
        <f t="shared" si="10"/>
        <v/>
      </c>
      <c r="R77" s="105" t="str">
        <f t="shared" si="11"/>
        <v/>
      </c>
    </row>
    <row r="78" spans="3:19" x14ac:dyDescent="0.3">
      <c r="C78" s="1" t="e">
        <f t="shared" si="7"/>
        <v>#VALUE!</v>
      </c>
      <c r="D78" s="1" t="str">
        <f t="shared" si="6"/>
        <v/>
      </c>
      <c r="F78" s="52" t="e">
        <f>'Mortgage Calculator'!$G$9*((1+'Mortgage Calculator'!$P$8)^(MISC!C78-1))</f>
        <v>#VALUE!</v>
      </c>
      <c r="G78" s="70" t="e">
        <f>'Mortgage Calculator'!$U$25*((1+'Mortgage Calculator'!$S$10)^(MISC!C78-1))</f>
        <v>#VALUE!</v>
      </c>
      <c r="H78" s="52" t="e">
        <f t="shared" si="8"/>
        <v>#VALUE!</v>
      </c>
      <c r="I78" s="69" t="str">
        <f>IFERROR(IF((H78+I77)*(1+('Mortgage Calculator'!$S$12/12))&gt;R78,"stop",(H78+I77)*(1+('Mortgage Calculator'!$S$12/12))),"")</f>
        <v/>
      </c>
      <c r="M78" s="83" t="str">
        <f t="shared" si="9"/>
        <v/>
      </c>
      <c r="N78" s="83"/>
      <c r="O78" s="105" t="str">
        <f>IFERROR(M78/M78*'Mortgage Calculator'!$U$28,"")</f>
        <v/>
      </c>
      <c r="P78" s="105" t="str">
        <f>IFERROR(M78/M78*R77*'Mortgage Calculator'!$C$13/12,"")</f>
        <v/>
      </c>
      <c r="Q78" s="105" t="str">
        <f t="shared" si="10"/>
        <v/>
      </c>
      <c r="R78" s="105" t="str">
        <f t="shared" si="11"/>
        <v/>
      </c>
    </row>
    <row r="79" spans="3:19" x14ac:dyDescent="0.3">
      <c r="C79" s="1" t="e">
        <f t="shared" si="7"/>
        <v>#VALUE!</v>
      </c>
      <c r="D79" s="1" t="str">
        <f t="shared" si="6"/>
        <v/>
      </c>
      <c r="F79" s="52" t="e">
        <f>'Mortgage Calculator'!$G$9*((1+'Mortgage Calculator'!$P$8)^(MISC!C79-1))</f>
        <v>#VALUE!</v>
      </c>
      <c r="G79" s="70" t="e">
        <f>'Mortgage Calculator'!$U$25*((1+'Mortgage Calculator'!$S$10)^(MISC!C79-1))</f>
        <v>#VALUE!</v>
      </c>
      <c r="H79" s="52" t="e">
        <f t="shared" si="8"/>
        <v>#VALUE!</v>
      </c>
      <c r="I79" s="69" t="str">
        <f>IFERROR(IF((H79+I78)*(1+('Mortgage Calculator'!$S$12/12))&gt;R79,"stop",(H79+I78)*(1+('Mortgage Calculator'!$S$12/12))),"")</f>
        <v/>
      </c>
      <c r="M79" s="83" t="str">
        <f t="shared" si="9"/>
        <v/>
      </c>
      <c r="N79" s="83"/>
      <c r="O79" s="105" t="str">
        <f>IFERROR(M79/M79*'Mortgage Calculator'!$U$28,"")</f>
        <v/>
      </c>
      <c r="P79" s="105" t="str">
        <f>IFERROR(M79/M79*R78*'Mortgage Calculator'!$C$13/12,"")</f>
        <v/>
      </c>
      <c r="Q79" s="105" t="str">
        <f t="shared" si="10"/>
        <v/>
      </c>
      <c r="R79" s="105" t="str">
        <f t="shared" si="11"/>
        <v/>
      </c>
    </row>
    <row r="80" spans="3:19" x14ac:dyDescent="0.3">
      <c r="C80" s="1" t="e">
        <f t="shared" si="7"/>
        <v>#VALUE!</v>
      </c>
      <c r="D80" s="1" t="str">
        <f t="shared" si="6"/>
        <v/>
      </c>
      <c r="F80" s="52" t="e">
        <f>'Mortgage Calculator'!$G$9*((1+'Mortgage Calculator'!$P$8)^(MISC!C80-1))</f>
        <v>#VALUE!</v>
      </c>
      <c r="G80" s="70" t="e">
        <f>'Mortgage Calculator'!$U$25*((1+'Mortgage Calculator'!$S$10)^(MISC!C80-1))</f>
        <v>#VALUE!</v>
      </c>
      <c r="H80" s="52" t="e">
        <f t="shared" si="8"/>
        <v>#VALUE!</v>
      </c>
      <c r="I80" s="69" t="str">
        <f>IFERROR(IF((H80+I79)*(1+('Mortgage Calculator'!$S$12/12))&gt;R80,"stop",(H80+I79)*(1+('Mortgage Calculator'!$S$12/12))),"")</f>
        <v/>
      </c>
      <c r="M80" s="83" t="str">
        <f t="shared" si="9"/>
        <v/>
      </c>
      <c r="N80" s="83"/>
      <c r="O80" s="105" t="str">
        <f>IFERROR(M80/M80*'Mortgage Calculator'!$U$28,"")</f>
        <v/>
      </c>
      <c r="P80" s="105" t="str">
        <f>IFERROR(M80/M80*R79*'Mortgage Calculator'!$C$13/12,"")</f>
        <v/>
      </c>
      <c r="Q80" s="105" t="str">
        <f t="shared" si="10"/>
        <v/>
      </c>
      <c r="R80" s="105" t="str">
        <f t="shared" si="11"/>
        <v/>
      </c>
    </row>
    <row r="81" spans="3:18" x14ac:dyDescent="0.3">
      <c r="C81" s="1" t="e">
        <f t="shared" si="7"/>
        <v>#VALUE!</v>
      </c>
      <c r="D81" s="1" t="str">
        <f t="shared" si="6"/>
        <v/>
      </c>
      <c r="F81" s="52" t="e">
        <f>'Mortgage Calculator'!$G$9*((1+'Mortgage Calculator'!$P$8)^(MISC!C81-1))</f>
        <v>#VALUE!</v>
      </c>
      <c r="G81" s="70" t="e">
        <f>'Mortgage Calculator'!$U$25*((1+'Mortgage Calculator'!$S$10)^(MISC!C81-1))</f>
        <v>#VALUE!</v>
      </c>
      <c r="H81" s="52" t="e">
        <f t="shared" si="8"/>
        <v>#VALUE!</v>
      </c>
      <c r="I81" s="69" t="str">
        <f>IFERROR(IF((H81+I80)*(1+('Mortgage Calculator'!$S$12/12))&gt;R81,"stop",(H81+I80)*(1+('Mortgage Calculator'!$S$12/12))),"")</f>
        <v/>
      </c>
      <c r="M81" s="83" t="str">
        <f t="shared" si="9"/>
        <v/>
      </c>
      <c r="N81" s="83"/>
      <c r="O81" s="105" t="str">
        <f>IFERROR(M81/M81*'Mortgage Calculator'!$U$28,"")</f>
        <v/>
      </c>
      <c r="P81" s="105" t="str">
        <f>IFERROR(M81/M81*R80*'Mortgage Calculator'!$C$13/12,"")</f>
        <v/>
      </c>
      <c r="Q81" s="105" t="str">
        <f t="shared" si="10"/>
        <v/>
      </c>
      <c r="R81" s="105" t="str">
        <f t="shared" si="11"/>
        <v/>
      </c>
    </row>
    <row r="82" spans="3:18" x14ac:dyDescent="0.3">
      <c r="C82" s="1" t="e">
        <f t="shared" si="7"/>
        <v>#VALUE!</v>
      </c>
      <c r="D82" s="1" t="str">
        <f t="shared" si="6"/>
        <v/>
      </c>
      <c r="F82" s="52" t="e">
        <f>'Mortgage Calculator'!$G$9*((1+'Mortgage Calculator'!$P$8)^(MISC!C82-1))</f>
        <v>#VALUE!</v>
      </c>
      <c r="G82" s="70" t="e">
        <f>'Mortgage Calculator'!$U$25*((1+'Mortgage Calculator'!$S$10)^(MISC!C82-1))</f>
        <v>#VALUE!</v>
      </c>
      <c r="H82" s="52" t="e">
        <f t="shared" si="8"/>
        <v>#VALUE!</v>
      </c>
      <c r="I82" s="69" t="str">
        <f>IFERROR(IF((H82+I81)*(1+('Mortgage Calculator'!$S$12/12))&gt;R82,"stop",(H82+I81)*(1+('Mortgage Calculator'!$S$12/12))),"")</f>
        <v/>
      </c>
      <c r="M82" s="83" t="str">
        <f t="shared" si="9"/>
        <v/>
      </c>
      <c r="N82" s="83"/>
      <c r="O82" s="105" t="str">
        <f>IFERROR(M82/M82*'Mortgage Calculator'!$U$28,"")</f>
        <v/>
      </c>
      <c r="P82" s="105" t="str">
        <f>IFERROR(M82/M82*R81*'Mortgage Calculator'!$C$13/12,"")</f>
        <v/>
      </c>
      <c r="Q82" s="105" t="str">
        <f t="shared" si="10"/>
        <v/>
      </c>
      <c r="R82" s="105" t="str">
        <f t="shared" si="11"/>
        <v/>
      </c>
    </row>
    <row r="83" spans="3:18" x14ac:dyDescent="0.3">
      <c r="C83" s="1" t="e">
        <f t="shared" si="7"/>
        <v>#VALUE!</v>
      </c>
      <c r="D83" s="1" t="str">
        <f t="shared" si="6"/>
        <v/>
      </c>
      <c r="F83" s="52" t="e">
        <f>'Mortgage Calculator'!$G$9*((1+'Mortgage Calculator'!$P$8)^(MISC!C83-1))</f>
        <v>#VALUE!</v>
      </c>
      <c r="G83" s="70" t="e">
        <f>'Mortgage Calculator'!$U$25*((1+'Mortgage Calculator'!$S$10)^(MISC!C83-1))</f>
        <v>#VALUE!</v>
      </c>
      <c r="H83" s="52" t="e">
        <f t="shared" si="8"/>
        <v>#VALUE!</v>
      </c>
      <c r="I83" s="69" t="str">
        <f>IFERROR(IF((H83+I82)*(1+('Mortgage Calculator'!$S$12/12))&gt;R83,"stop",(H83+I82)*(1+('Mortgage Calculator'!$S$12/12))),"")</f>
        <v/>
      </c>
      <c r="M83" s="83" t="str">
        <f t="shared" si="9"/>
        <v/>
      </c>
      <c r="N83" s="83"/>
      <c r="O83" s="105" t="str">
        <f>IFERROR(M83/M83*'Mortgage Calculator'!$U$28,"")</f>
        <v/>
      </c>
      <c r="P83" s="105" t="str">
        <f>IFERROR(M83/M83*R82*'Mortgage Calculator'!$C$13/12,"")</f>
        <v/>
      </c>
      <c r="Q83" s="105" t="str">
        <f t="shared" si="10"/>
        <v/>
      </c>
      <c r="R83" s="105" t="str">
        <f t="shared" si="11"/>
        <v/>
      </c>
    </row>
    <row r="84" spans="3:18" x14ac:dyDescent="0.3">
      <c r="C84" s="1" t="e">
        <f t="shared" si="7"/>
        <v>#VALUE!</v>
      </c>
      <c r="D84" s="1" t="str">
        <f t="shared" si="6"/>
        <v/>
      </c>
      <c r="F84" s="52" t="e">
        <f>'Mortgage Calculator'!$G$9*((1+'Mortgage Calculator'!$P$8)^(MISC!C84-1))</f>
        <v>#VALUE!</v>
      </c>
      <c r="G84" s="70" t="e">
        <f>'Mortgage Calculator'!$U$25*((1+'Mortgage Calculator'!$S$10)^(MISC!C84-1))</f>
        <v>#VALUE!</v>
      </c>
      <c r="H84" s="52" t="e">
        <f t="shared" si="8"/>
        <v>#VALUE!</v>
      </c>
      <c r="I84" s="69" t="str">
        <f>IFERROR(IF((H84+I83)*(1+('Mortgage Calculator'!$S$12/12))&gt;R84,"stop",(H84+I83)*(1+('Mortgage Calculator'!$S$12/12))),"")</f>
        <v/>
      </c>
      <c r="M84" s="83" t="str">
        <f t="shared" si="9"/>
        <v/>
      </c>
      <c r="N84" s="83"/>
      <c r="O84" s="105" t="str">
        <f>IFERROR(M84/M84*'Mortgage Calculator'!$U$28,"")</f>
        <v/>
      </c>
      <c r="P84" s="105" t="str">
        <f>IFERROR(M84/M84*R83*'Mortgage Calculator'!$C$13/12,"")</f>
        <v/>
      </c>
      <c r="Q84" s="105" t="str">
        <f t="shared" si="10"/>
        <v/>
      </c>
      <c r="R84" s="105" t="str">
        <f t="shared" si="11"/>
        <v/>
      </c>
    </row>
    <row r="85" spans="3:18" x14ac:dyDescent="0.3">
      <c r="C85" s="1" t="e">
        <f t="shared" si="7"/>
        <v>#VALUE!</v>
      </c>
      <c r="D85" s="1" t="str">
        <f t="shared" si="6"/>
        <v/>
      </c>
      <c r="F85" s="52" t="e">
        <f>'Mortgage Calculator'!$G$9*((1+'Mortgage Calculator'!$P$8)^(MISC!C85-1))</f>
        <v>#VALUE!</v>
      </c>
      <c r="G85" s="70" t="e">
        <f>'Mortgage Calculator'!$U$25*((1+'Mortgage Calculator'!$S$10)^(MISC!C85-1))</f>
        <v>#VALUE!</v>
      </c>
      <c r="H85" s="52" t="e">
        <f t="shared" si="8"/>
        <v>#VALUE!</v>
      </c>
      <c r="I85" s="69" t="str">
        <f>IFERROR(IF((H85+I84)*(1+('Mortgage Calculator'!$S$12/12))&gt;R85,"stop",(H85+I84)*(1+('Mortgage Calculator'!$S$12/12))),"")</f>
        <v/>
      </c>
      <c r="M85" s="83" t="str">
        <f t="shared" si="9"/>
        <v/>
      </c>
      <c r="N85" s="83"/>
      <c r="O85" s="105" t="str">
        <f>IFERROR(M85/M85*'Mortgage Calculator'!$U$28,"")</f>
        <v/>
      </c>
      <c r="P85" s="105" t="str">
        <f>IFERROR(M85/M85*R84*'Mortgage Calculator'!$C$13/12,"")</f>
        <v/>
      </c>
      <c r="Q85" s="105" t="str">
        <f t="shared" si="10"/>
        <v/>
      </c>
      <c r="R85" s="105" t="str">
        <f t="shared" si="11"/>
        <v/>
      </c>
    </row>
    <row r="86" spans="3:18" x14ac:dyDescent="0.3">
      <c r="C86" s="1" t="e">
        <f t="shared" si="7"/>
        <v>#VALUE!</v>
      </c>
      <c r="D86" s="1" t="str">
        <f t="shared" si="6"/>
        <v/>
      </c>
      <c r="F86" s="52" t="e">
        <f>'Mortgage Calculator'!$G$9*((1+'Mortgage Calculator'!$P$8)^(MISC!C86-1))</f>
        <v>#VALUE!</v>
      </c>
      <c r="G86" s="70" t="e">
        <f>'Mortgage Calculator'!$U$25*((1+'Mortgage Calculator'!$S$10)^(MISC!C86-1))</f>
        <v>#VALUE!</v>
      </c>
      <c r="H86" s="52" t="e">
        <f t="shared" si="8"/>
        <v>#VALUE!</v>
      </c>
      <c r="I86" s="69" t="str">
        <f>IFERROR(IF((H86+I85)*(1+('Mortgage Calculator'!$S$12/12))&gt;R86,"stop",(H86+I85)*(1+('Mortgage Calculator'!$S$12/12))),"")</f>
        <v/>
      </c>
      <c r="M86" s="83" t="str">
        <f t="shared" si="9"/>
        <v/>
      </c>
      <c r="N86" s="83"/>
      <c r="O86" s="105" t="str">
        <f>IFERROR(M86/M86*'Mortgage Calculator'!$U$28,"")</f>
        <v/>
      </c>
      <c r="P86" s="105" t="str">
        <f>IFERROR(M86/M86*R85*'Mortgage Calculator'!$C$13/12,"")</f>
        <v/>
      </c>
      <c r="Q86" s="105" t="str">
        <f t="shared" si="10"/>
        <v/>
      </c>
      <c r="R86" s="105" t="str">
        <f t="shared" si="11"/>
        <v/>
      </c>
    </row>
    <row r="87" spans="3:18" x14ac:dyDescent="0.3">
      <c r="C87" s="1" t="e">
        <f t="shared" si="7"/>
        <v>#VALUE!</v>
      </c>
      <c r="D87" s="1" t="str">
        <f t="shared" si="6"/>
        <v/>
      </c>
      <c r="F87" s="52" t="e">
        <f>'Mortgage Calculator'!$G$9*((1+'Mortgage Calculator'!$P$8)^(MISC!C87-1))</f>
        <v>#VALUE!</v>
      </c>
      <c r="G87" s="70" t="e">
        <f>'Mortgage Calculator'!$U$25*((1+'Mortgage Calculator'!$S$10)^(MISC!C87-1))</f>
        <v>#VALUE!</v>
      </c>
      <c r="H87" s="52" t="e">
        <f t="shared" si="8"/>
        <v>#VALUE!</v>
      </c>
      <c r="I87" s="69" t="str">
        <f>IFERROR(IF((H87+I86)*(1+('Mortgage Calculator'!$S$12/12))&gt;R87,"stop",(H87+I86)*(1+('Mortgage Calculator'!$S$12/12))),"")</f>
        <v/>
      </c>
      <c r="M87" s="83" t="str">
        <f t="shared" si="9"/>
        <v/>
      </c>
      <c r="N87" s="83"/>
      <c r="O87" s="105" t="str">
        <f>IFERROR(M87/M87*'Mortgage Calculator'!$U$28,"")</f>
        <v/>
      </c>
      <c r="P87" s="105" t="str">
        <f>IFERROR(M87/M87*R86*'Mortgage Calculator'!$C$13/12,"")</f>
        <v/>
      </c>
      <c r="Q87" s="105" t="str">
        <f t="shared" si="10"/>
        <v/>
      </c>
      <c r="R87" s="105" t="str">
        <f t="shared" si="11"/>
        <v/>
      </c>
    </row>
    <row r="88" spans="3:18" x14ac:dyDescent="0.3">
      <c r="C88" s="1" t="e">
        <f t="shared" si="7"/>
        <v>#VALUE!</v>
      </c>
      <c r="D88" s="1" t="str">
        <f t="shared" si="6"/>
        <v/>
      </c>
      <c r="F88" s="52" t="e">
        <f>'Mortgage Calculator'!$G$9*((1+'Mortgage Calculator'!$P$8)^(MISC!C88-1))</f>
        <v>#VALUE!</v>
      </c>
      <c r="G88" s="70" t="e">
        <f>'Mortgage Calculator'!$U$25*((1+'Mortgage Calculator'!$S$10)^(MISC!C88-1))</f>
        <v>#VALUE!</v>
      </c>
      <c r="H88" s="52" t="e">
        <f t="shared" si="8"/>
        <v>#VALUE!</v>
      </c>
      <c r="I88" s="69" t="str">
        <f>IFERROR(IF((H88+I87)*(1+('Mortgage Calculator'!$S$12/12))&gt;R88,"stop",(H88+I87)*(1+('Mortgage Calculator'!$S$12/12))),"")</f>
        <v/>
      </c>
      <c r="M88" s="83" t="str">
        <f t="shared" si="9"/>
        <v/>
      </c>
      <c r="N88" s="83"/>
      <c r="O88" s="105" t="str">
        <f>IFERROR(M88/M88*'Mortgage Calculator'!$U$28,"")</f>
        <v/>
      </c>
      <c r="P88" s="105" t="str">
        <f>IFERROR(M88/M88*R87*'Mortgage Calculator'!$C$13/12,"")</f>
        <v/>
      </c>
      <c r="Q88" s="105" t="str">
        <f t="shared" si="10"/>
        <v/>
      </c>
      <c r="R88" s="105" t="str">
        <f t="shared" si="11"/>
        <v/>
      </c>
    </row>
    <row r="89" spans="3:18" x14ac:dyDescent="0.3">
      <c r="C89" s="1" t="e">
        <f t="shared" si="7"/>
        <v>#VALUE!</v>
      </c>
      <c r="D89" s="1" t="str">
        <f t="shared" si="6"/>
        <v/>
      </c>
      <c r="F89" s="52" t="e">
        <f>'Mortgage Calculator'!$G$9*((1+'Mortgage Calculator'!$P$8)^(MISC!C89-1))</f>
        <v>#VALUE!</v>
      </c>
      <c r="G89" s="70" t="e">
        <f>'Mortgage Calculator'!$U$25*((1+'Mortgage Calculator'!$S$10)^(MISC!C89-1))</f>
        <v>#VALUE!</v>
      </c>
      <c r="H89" s="52" t="e">
        <f t="shared" si="8"/>
        <v>#VALUE!</v>
      </c>
      <c r="I89" s="69" t="str">
        <f>IFERROR(IF((H89+I88)*(1+('Mortgage Calculator'!$S$12/12))&gt;R89,"stop",(H89+I88)*(1+('Mortgage Calculator'!$S$12/12))),"")</f>
        <v/>
      </c>
      <c r="M89" s="83" t="str">
        <f t="shared" si="9"/>
        <v/>
      </c>
      <c r="N89" s="83"/>
      <c r="O89" s="105" t="str">
        <f>IFERROR(M89/M89*'Mortgage Calculator'!$U$28,"")</f>
        <v/>
      </c>
      <c r="P89" s="105" t="str">
        <f>IFERROR(M89/M89*R88*'Mortgage Calculator'!$C$13/12,"")</f>
        <v/>
      </c>
      <c r="Q89" s="105" t="str">
        <f t="shared" si="10"/>
        <v/>
      </c>
      <c r="R89" s="105" t="str">
        <f t="shared" si="11"/>
        <v/>
      </c>
    </row>
    <row r="90" spans="3:18" x14ac:dyDescent="0.3">
      <c r="C90" s="1" t="e">
        <f t="shared" si="7"/>
        <v>#VALUE!</v>
      </c>
      <c r="D90" s="1" t="str">
        <f t="shared" si="6"/>
        <v/>
      </c>
      <c r="F90" s="52" t="e">
        <f>'Mortgage Calculator'!$G$9*((1+'Mortgage Calculator'!$P$8)^(MISC!C90-1))</f>
        <v>#VALUE!</v>
      </c>
      <c r="G90" s="70" t="e">
        <f>'Mortgage Calculator'!$U$25*((1+'Mortgage Calculator'!$S$10)^(MISC!C90-1))</f>
        <v>#VALUE!</v>
      </c>
      <c r="H90" s="52" t="e">
        <f t="shared" si="8"/>
        <v>#VALUE!</v>
      </c>
      <c r="I90" s="69" t="str">
        <f>IFERROR(IF((H90+I89)*(1+('Mortgage Calculator'!$S$12/12))&gt;R90,"stop",(H90+I89)*(1+('Mortgage Calculator'!$S$12/12))),"")</f>
        <v/>
      </c>
      <c r="M90" s="83" t="str">
        <f t="shared" si="9"/>
        <v/>
      </c>
      <c r="N90" s="83"/>
      <c r="O90" s="105" t="str">
        <f>IFERROR(M90/M90*'Mortgage Calculator'!$U$28,"")</f>
        <v/>
      </c>
      <c r="P90" s="105" t="str">
        <f>IFERROR(M90/M90*R89*'Mortgage Calculator'!$C$13/12,"")</f>
        <v/>
      </c>
      <c r="Q90" s="105" t="str">
        <f t="shared" si="10"/>
        <v/>
      </c>
      <c r="R90" s="105" t="str">
        <f t="shared" si="11"/>
        <v/>
      </c>
    </row>
    <row r="91" spans="3:18" x14ac:dyDescent="0.3">
      <c r="C91" s="1" t="e">
        <f t="shared" si="7"/>
        <v>#VALUE!</v>
      </c>
      <c r="D91" s="1" t="str">
        <f t="shared" si="6"/>
        <v/>
      </c>
      <c r="F91" s="52" t="e">
        <f>'Mortgage Calculator'!$G$9*((1+'Mortgage Calculator'!$P$8)^(MISC!C91-1))</f>
        <v>#VALUE!</v>
      </c>
      <c r="G91" s="70" t="e">
        <f>'Mortgage Calculator'!$U$25*((1+'Mortgage Calculator'!$S$10)^(MISC!C91-1))</f>
        <v>#VALUE!</v>
      </c>
      <c r="H91" s="52" t="e">
        <f t="shared" si="8"/>
        <v>#VALUE!</v>
      </c>
      <c r="I91" s="69" t="str">
        <f>IFERROR(IF((H91+I90)*(1+('Mortgage Calculator'!$S$12/12))&gt;R91,"stop",(H91+I90)*(1+('Mortgage Calculator'!$S$12/12))),"")</f>
        <v/>
      </c>
      <c r="M91" s="83" t="str">
        <f t="shared" si="9"/>
        <v/>
      </c>
      <c r="N91" s="83"/>
      <c r="O91" s="105" t="str">
        <f>IFERROR(M91/M91*'Mortgage Calculator'!$U$28,"")</f>
        <v/>
      </c>
      <c r="P91" s="105" t="str">
        <f>IFERROR(M91/M91*R90*'Mortgage Calculator'!$C$13/12,"")</f>
        <v/>
      </c>
      <c r="Q91" s="105" t="str">
        <f t="shared" si="10"/>
        <v/>
      </c>
      <c r="R91" s="105" t="str">
        <f t="shared" si="11"/>
        <v/>
      </c>
    </row>
    <row r="92" spans="3:18" x14ac:dyDescent="0.3">
      <c r="C92" s="1" t="e">
        <f t="shared" si="7"/>
        <v>#VALUE!</v>
      </c>
      <c r="D92" s="1" t="str">
        <f t="shared" si="6"/>
        <v/>
      </c>
      <c r="F92" s="52" t="e">
        <f>'Mortgage Calculator'!$G$9*((1+'Mortgage Calculator'!$P$8)^(MISC!C92-1))</f>
        <v>#VALUE!</v>
      </c>
      <c r="G92" s="70" t="e">
        <f>'Mortgage Calculator'!$U$25*((1+'Mortgage Calculator'!$S$10)^(MISC!C92-1))</f>
        <v>#VALUE!</v>
      </c>
      <c r="H92" s="52" t="e">
        <f t="shared" si="8"/>
        <v>#VALUE!</v>
      </c>
      <c r="I92" s="69" t="str">
        <f>IFERROR(IF((H92+I91)*(1+('Mortgage Calculator'!$S$12/12))&gt;R92,"stop",(H92+I91)*(1+('Mortgage Calculator'!$S$12/12))),"")</f>
        <v/>
      </c>
      <c r="M92" s="83" t="str">
        <f t="shared" si="9"/>
        <v/>
      </c>
      <c r="N92" s="83"/>
      <c r="O92" s="105" t="str">
        <f>IFERROR(M92/M92*'Mortgage Calculator'!$U$28,"")</f>
        <v/>
      </c>
      <c r="P92" s="105" t="str">
        <f>IFERROR(M92/M92*R91*'Mortgage Calculator'!$C$13/12,"")</f>
        <v/>
      </c>
      <c r="Q92" s="105" t="str">
        <f t="shared" si="10"/>
        <v/>
      </c>
      <c r="R92" s="105" t="str">
        <f t="shared" si="11"/>
        <v/>
      </c>
    </row>
    <row r="93" spans="3:18" x14ac:dyDescent="0.3">
      <c r="C93" s="1" t="e">
        <f t="shared" si="7"/>
        <v>#VALUE!</v>
      </c>
      <c r="D93" s="1" t="str">
        <f t="shared" si="6"/>
        <v/>
      </c>
      <c r="F93" s="52" t="e">
        <f>'Mortgage Calculator'!$G$9*((1+'Mortgage Calculator'!$P$8)^(MISC!C93-1))</f>
        <v>#VALUE!</v>
      </c>
      <c r="G93" s="70" t="e">
        <f>'Mortgage Calculator'!$U$25*((1+'Mortgage Calculator'!$S$10)^(MISC!C93-1))</f>
        <v>#VALUE!</v>
      </c>
      <c r="H93" s="52" t="e">
        <f t="shared" si="8"/>
        <v>#VALUE!</v>
      </c>
      <c r="I93" s="69" t="str">
        <f>IFERROR(IF((H93+I92)*(1+('Mortgage Calculator'!$S$12/12))&gt;R93,"stop",(H93+I92)*(1+('Mortgage Calculator'!$S$12/12))),"")</f>
        <v/>
      </c>
      <c r="M93" s="83" t="str">
        <f t="shared" si="9"/>
        <v/>
      </c>
      <c r="N93" s="83"/>
      <c r="O93" s="105" t="str">
        <f>IFERROR(M93/M93*'Mortgage Calculator'!$U$28,"")</f>
        <v/>
      </c>
      <c r="P93" s="105" t="str">
        <f>IFERROR(M93/M93*R92*'Mortgage Calculator'!$C$13/12,"")</f>
        <v/>
      </c>
      <c r="Q93" s="105" t="str">
        <f t="shared" si="10"/>
        <v/>
      </c>
      <c r="R93" s="105" t="str">
        <f t="shared" si="11"/>
        <v/>
      </c>
    </row>
    <row r="94" spans="3:18" x14ac:dyDescent="0.3">
      <c r="C94" s="1" t="e">
        <f t="shared" si="7"/>
        <v>#VALUE!</v>
      </c>
      <c r="D94" s="1" t="str">
        <f t="shared" si="6"/>
        <v/>
      </c>
      <c r="F94" s="52" t="e">
        <f>'Mortgage Calculator'!$G$9*((1+'Mortgage Calculator'!$P$8)^(MISC!C94-1))</f>
        <v>#VALUE!</v>
      </c>
      <c r="G94" s="70" t="e">
        <f>'Mortgage Calculator'!$U$25*((1+'Mortgage Calculator'!$S$10)^(MISC!C94-1))</f>
        <v>#VALUE!</v>
      </c>
      <c r="H94" s="52" t="e">
        <f t="shared" si="8"/>
        <v>#VALUE!</v>
      </c>
      <c r="I94" s="69" t="str">
        <f>IFERROR(IF((H94+I93)*(1+('Mortgage Calculator'!$S$12/12))&gt;R94,"stop",(H94+I93)*(1+('Mortgage Calculator'!$S$12/12))),"")</f>
        <v/>
      </c>
      <c r="M94" s="83" t="str">
        <f t="shared" si="9"/>
        <v/>
      </c>
      <c r="N94" s="83"/>
      <c r="O94" s="105" t="str">
        <f>IFERROR(M94/M94*'Mortgage Calculator'!$U$28,"")</f>
        <v/>
      </c>
      <c r="P94" s="105" t="str">
        <f>IFERROR(M94/M94*R93*'Mortgage Calculator'!$C$13/12,"")</f>
        <v/>
      </c>
      <c r="Q94" s="105" t="str">
        <f t="shared" si="10"/>
        <v/>
      </c>
      <c r="R94" s="105" t="str">
        <f t="shared" si="11"/>
        <v/>
      </c>
    </row>
    <row r="95" spans="3:18" x14ac:dyDescent="0.3">
      <c r="C95" s="1" t="e">
        <f t="shared" si="7"/>
        <v>#VALUE!</v>
      </c>
      <c r="D95" s="1" t="str">
        <f t="shared" si="6"/>
        <v/>
      </c>
      <c r="F95" s="52" t="e">
        <f>'Mortgage Calculator'!$G$9*((1+'Mortgage Calculator'!$P$8)^(MISC!C95-1))</f>
        <v>#VALUE!</v>
      </c>
      <c r="G95" s="70" t="e">
        <f>'Mortgage Calculator'!$U$25*((1+'Mortgage Calculator'!$S$10)^(MISC!C95-1))</f>
        <v>#VALUE!</v>
      </c>
      <c r="H95" s="52" t="e">
        <f t="shared" si="8"/>
        <v>#VALUE!</v>
      </c>
      <c r="I95" s="69" t="str">
        <f>IFERROR(IF((H95+I94)*(1+('Mortgage Calculator'!$S$12/12))&gt;R95,"stop",(H95+I94)*(1+('Mortgage Calculator'!$S$12/12))),"")</f>
        <v/>
      </c>
      <c r="M95" s="83" t="str">
        <f t="shared" si="9"/>
        <v/>
      </c>
      <c r="N95" s="83"/>
      <c r="O95" s="105" t="str">
        <f>IFERROR(M95/M95*'Mortgage Calculator'!$U$28,"")</f>
        <v/>
      </c>
      <c r="P95" s="105" t="str">
        <f>IFERROR(M95/M95*R94*'Mortgage Calculator'!$C$13/12,"")</f>
        <v/>
      </c>
      <c r="Q95" s="105" t="str">
        <f t="shared" si="10"/>
        <v/>
      </c>
      <c r="R95" s="105" t="str">
        <f t="shared" si="11"/>
        <v/>
      </c>
    </row>
    <row r="96" spans="3:18" x14ac:dyDescent="0.3">
      <c r="C96" s="1" t="e">
        <f t="shared" si="7"/>
        <v>#VALUE!</v>
      </c>
      <c r="D96" s="1" t="str">
        <f t="shared" si="6"/>
        <v/>
      </c>
      <c r="F96" s="52" t="e">
        <f>'Mortgage Calculator'!$G$9*((1+'Mortgage Calculator'!$P$8)^(MISC!C96-1))</f>
        <v>#VALUE!</v>
      </c>
      <c r="G96" s="70" t="e">
        <f>'Mortgage Calculator'!$U$25*((1+'Mortgage Calculator'!$S$10)^(MISC!C96-1))</f>
        <v>#VALUE!</v>
      </c>
      <c r="H96" s="52" t="e">
        <f t="shared" si="8"/>
        <v>#VALUE!</v>
      </c>
      <c r="I96" s="69" t="str">
        <f>IFERROR(IF((H96+I95)*(1+('Mortgage Calculator'!$S$12/12))&gt;R96,"stop",(H96+I95)*(1+('Mortgage Calculator'!$S$12/12))),"")</f>
        <v/>
      </c>
      <c r="M96" s="83" t="str">
        <f t="shared" si="9"/>
        <v/>
      </c>
      <c r="N96" s="83"/>
      <c r="O96" s="105" t="str">
        <f>IFERROR(M96/M96*'Mortgage Calculator'!$U$28,"")</f>
        <v/>
      </c>
      <c r="P96" s="105" t="str">
        <f>IFERROR(M96/M96*R95*'Mortgage Calculator'!$C$13/12,"")</f>
        <v/>
      </c>
      <c r="Q96" s="105" t="str">
        <f t="shared" si="10"/>
        <v/>
      </c>
      <c r="R96" s="105" t="str">
        <f t="shared" si="11"/>
        <v/>
      </c>
    </row>
    <row r="97" spans="3:18" x14ac:dyDescent="0.3">
      <c r="C97" s="1" t="e">
        <f t="shared" si="7"/>
        <v>#VALUE!</v>
      </c>
      <c r="D97" s="1" t="str">
        <f t="shared" si="6"/>
        <v/>
      </c>
      <c r="F97" s="52" t="e">
        <f>'Mortgage Calculator'!$G$9*((1+'Mortgage Calculator'!$P$8)^(MISC!C97-1))</f>
        <v>#VALUE!</v>
      </c>
      <c r="G97" s="70" t="e">
        <f>'Mortgage Calculator'!$U$25*((1+'Mortgage Calculator'!$S$10)^(MISC!C97-1))</f>
        <v>#VALUE!</v>
      </c>
      <c r="H97" s="52" t="e">
        <f t="shared" si="8"/>
        <v>#VALUE!</v>
      </c>
      <c r="I97" s="69" t="str">
        <f>IFERROR(IF((H97+I96)*(1+('Mortgage Calculator'!$S$12/12))&gt;R97,"stop",(H97+I96)*(1+('Mortgage Calculator'!$S$12/12))),"")</f>
        <v/>
      </c>
      <c r="M97" s="83" t="str">
        <f t="shared" si="9"/>
        <v/>
      </c>
      <c r="N97" s="83"/>
      <c r="O97" s="105" t="str">
        <f>IFERROR(M97/M97*'Mortgage Calculator'!$U$28,"")</f>
        <v/>
      </c>
      <c r="P97" s="105" t="str">
        <f>IFERROR(M97/M97*R96*'Mortgage Calculator'!$C$13/12,"")</f>
        <v/>
      </c>
      <c r="Q97" s="105" t="str">
        <f t="shared" si="10"/>
        <v/>
      </c>
      <c r="R97" s="105" t="str">
        <f t="shared" si="11"/>
        <v/>
      </c>
    </row>
    <row r="98" spans="3:18" x14ac:dyDescent="0.3">
      <c r="C98" s="1" t="e">
        <f t="shared" si="7"/>
        <v>#VALUE!</v>
      </c>
      <c r="D98" s="1" t="str">
        <f t="shared" si="6"/>
        <v/>
      </c>
      <c r="F98" s="52" t="e">
        <f>'Mortgage Calculator'!$G$9*((1+'Mortgage Calculator'!$P$8)^(MISC!C98-1))</f>
        <v>#VALUE!</v>
      </c>
      <c r="G98" s="70" t="e">
        <f>'Mortgage Calculator'!$U$25*((1+'Mortgage Calculator'!$S$10)^(MISC!C98-1))</f>
        <v>#VALUE!</v>
      </c>
      <c r="H98" s="52" t="e">
        <f t="shared" si="8"/>
        <v>#VALUE!</v>
      </c>
      <c r="I98" s="69" t="str">
        <f>IFERROR(IF((H98+I97)*(1+('Mortgage Calculator'!$S$12/12))&gt;R98,"stop",(H98+I97)*(1+('Mortgage Calculator'!$S$12/12))),"")</f>
        <v/>
      </c>
      <c r="M98" s="83" t="str">
        <f t="shared" si="9"/>
        <v/>
      </c>
      <c r="N98" s="83"/>
      <c r="O98" s="105" t="str">
        <f>IFERROR(M98/M98*'Mortgage Calculator'!$U$28,"")</f>
        <v/>
      </c>
      <c r="P98" s="105" t="str">
        <f>IFERROR(M98/M98*R97*'Mortgage Calculator'!$C$13/12,"")</f>
        <v/>
      </c>
      <c r="Q98" s="105" t="str">
        <f t="shared" si="10"/>
        <v/>
      </c>
      <c r="R98" s="105" t="str">
        <f t="shared" si="11"/>
        <v/>
      </c>
    </row>
    <row r="99" spans="3:18" x14ac:dyDescent="0.3">
      <c r="C99" s="1" t="e">
        <f t="shared" si="7"/>
        <v>#VALUE!</v>
      </c>
      <c r="D99" s="1" t="str">
        <f t="shared" si="6"/>
        <v/>
      </c>
      <c r="F99" s="52" t="e">
        <f>'Mortgage Calculator'!$G$9*((1+'Mortgage Calculator'!$P$8)^(MISC!C99-1))</f>
        <v>#VALUE!</v>
      </c>
      <c r="G99" s="70" t="e">
        <f>'Mortgage Calculator'!$U$25*((1+'Mortgage Calculator'!$S$10)^(MISC!C99-1))</f>
        <v>#VALUE!</v>
      </c>
      <c r="H99" s="52" t="e">
        <f t="shared" si="8"/>
        <v>#VALUE!</v>
      </c>
      <c r="I99" s="69" t="str">
        <f>IFERROR(IF((H99+I98)*(1+('Mortgage Calculator'!$S$12/12))&gt;R99,"stop",(H99+I98)*(1+('Mortgage Calculator'!$S$12/12))),"")</f>
        <v/>
      </c>
      <c r="M99" s="83" t="str">
        <f t="shared" si="9"/>
        <v/>
      </c>
      <c r="N99" s="83"/>
      <c r="O99" s="105" t="str">
        <f>IFERROR(M99/M99*'Mortgage Calculator'!$U$28,"")</f>
        <v/>
      </c>
      <c r="P99" s="105" t="str">
        <f>IFERROR(M99/M99*R98*'Mortgage Calculator'!$C$13/12,"")</f>
        <v/>
      </c>
      <c r="Q99" s="105" t="str">
        <f t="shared" si="10"/>
        <v/>
      </c>
      <c r="R99" s="105" t="str">
        <f t="shared" si="11"/>
        <v/>
      </c>
    </row>
    <row r="100" spans="3:18" x14ac:dyDescent="0.3">
      <c r="C100" s="1" t="e">
        <f t="shared" si="7"/>
        <v>#VALUE!</v>
      </c>
      <c r="D100" s="1" t="str">
        <f t="shared" si="6"/>
        <v/>
      </c>
      <c r="F100" s="52" t="e">
        <f>'Mortgage Calculator'!$G$9*((1+'Mortgage Calculator'!$P$8)^(MISC!C100-1))</f>
        <v>#VALUE!</v>
      </c>
      <c r="G100" s="70" t="e">
        <f>'Mortgage Calculator'!$U$25*((1+'Mortgage Calculator'!$S$10)^(MISC!C100-1))</f>
        <v>#VALUE!</v>
      </c>
      <c r="H100" s="52" t="e">
        <f t="shared" si="8"/>
        <v>#VALUE!</v>
      </c>
      <c r="I100" s="69" t="str">
        <f>IFERROR(IF((H100+I99)*(1+('Mortgage Calculator'!$S$12/12))&gt;R100,"stop",(H100+I99)*(1+('Mortgage Calculator'!$S$12/12))),"")</f>
        <v/>
      </c>
      <c r="M100" s="83" t="str">
        <f t="shared" si="9"/>
        <v/>
      </c>
      <c r="N100" s="83"/>
      <c r="O100" s="105" t="str">
        <f>IFERROR(M100/M100*'Mortgage Calculator'!$U$28,"")</f>
        <v/>
      </c>
      <c r="P100" s="105" t="str">
        <f>IFERROR(M100/M100*R99*'Mortgage Calculator'!$C$13/12,"")</f>
        <v/>
      </c>
      <c r="Q100" s="105" t="str">
        <f t="shared" si="10"/>
        <v/>
      </c>
      <c r="R100" s="105" t="str">
        <f t="shared" si="11"/>
        <v/>
      </c>
    </row>
    <row r="101" spans="3:18" x14ac:dyDescent="0.3">
      <c r="C101" s="1" t="e">
        <f t="shared" si="7"/>
        <v>#VALUE!</v>
      </c>
      <c r="D101" s="1" t="str">
        <f t="shared" si="6"/>
        <v/>
      </c>
      <c r="F101" s="52" t="e">
        <f>'Mortgage Calculator'!$G$9*((1+'Mortgage Calculator'!$P$8)^(MISC!C101-1))</f>
        <v>#VALUE!</v>
      </c>
      <c r="G101" s="70" t="e">
        <f>'Mortgage Calculator'!$U$25*((1+'Mortgage Calculator'!$S$10)^(MISC!C101-1))</f>
        <v>#VALUE!</v>
      </c>
      <c r="H101" s="52" t="e">
        <f t="shared" si="8"/>
        <v>#VALUE!</v>
      </c>
      <c r="I101" s="69" t="str">
        <f>IFERROR(IF((H101+I100)*(1+('Mortgage Calculator'!$S$12/12))&gt;R101,"stop",(H101+I100)*(1+('Mortgage Calculator'!$S$12/12))),"")</f>
        <v/>
      </c>
      <c r="M101" s="83" t="str">
        <f t="shared" si="9"/>
        <v/>
      </c>
      <c r="N101" s="83"/>
      <c r="O101" s="105" t="str">
        <f>IFERROR(M101/M101*'Mortgage Calculator'!$U$28,"")</f>
        <v/>
      </c>
      <c r="P101" s="105" t="str">
        <f>IFERROR(M101/M101*R100*'Mortgage Calculator'!$C$13/12,"")</f>
        <v/>
      </c>
      <c r="Q101" s="105" t="str">
        <f t="shared" si="10"/>
        <v/>
      </c>
      <c r="R101" s="105" t="str">
        <f t="shared" si="11"/>
        <v/>
      </c>
    </row>
    <row r="102" spans="3:18" x14ac:dyDescent="0.3">
      <c r="C102" s="1" t="e">
        <f t="shared" si="7"/>
        <v>#VALUE!</v>
      </c>
      <c r="D102" s="1" t="str">
        <f t="shared" si="6"/>
        <v/>
      </c>
      <c r="F102" s="52" t="e">
        <f>'Mortgage Calculator'!$G$9*((1+'Mortgage Calculator'!$P$8)^(MISC!C102-1))</f>
        <v>#VALUE!</v>
      </c>
      <c r="G102" s="70" t="e">
        <f>'Mortgage Calculator'!$U$25*((1+'Mortgage Calculator'!$S$10)^(MISC!C102-1))</f>
        <v>#VALUE!</v>
      </c>
      <c r="H102" s="52" t="e">
        <f t="shared" si="8"/>
        <v>#VALUE!</v>
      </c>
      <c r="I102" s="69" t="str">
        <f>IFERROR(IF((H102+I101)*(1+('Mortgage Calculator'!$S$12/12))&gt;R102,"stop",(H102+I101)*(1+('Mortgage Calculator'!$S$12/12))),"")</f>
        <v/>
      </c>
      <c r="M102" s="83" t="str">
        <f t="shared" si="9"/>
        <v/>
      </c>
      <c r="N102" s="83"/>
      <c r="O102" s="105" t="str">
        <f>IFERROR(M102/M102*'Mortgage Calculator'!$U$28,"")</f>
        <v/>
      </c>
      <c r="P102" s="105" t="str">
        <f>IFERROR(M102/M102*R101*'Mortgage Calculator'!$C$13/12,"")</f>
        <v/>
      </c>
      <c r="Q102" s="105" t="str">
        <f t="shared" si="10"/>
        <v/>
      </c>
      <c r="R102" s="105" t="str">
        <f t="shared" si="11"/>
        <v/>
      </c>
    </row>
    <row r="103" spans="3:18" x14ac:dyDescent="0.3">
      <c r="C103" s="1" t="e">
        <f t="shared" si="7"/>
        <v>#VALUE!</v>
      </c>
      <c r="D103" s="1" t="str">
        <f t="shared" si="6"/>
        <v/>
      </c>
      <c r="F103" s="52" t="e">
        <f>'Mortgage Calculator'!$G$9*((1+'Mortgage Calculator'!$P$8)^(MISC!C103-1))</f>
        <v>#VALUE!</v>
      </c>
      <c r="G103" s="70" t="e">
        <f>'Mortgage Calculator'!$U$25*((1+'Mortgage Calculator'!$S$10)^(MISC!C103-1))</f>
        <v>#VALUE!</v>
      </c>
      <c r="H103" s="52" t="e">
        <f t="shared" si="8"/>
        <v>#VALUE!</v>
      </c>
      <c r="I103" s="69" t="str">
        <f>IFERROR(IF((H103+I102)*(1+('Mortgage Calculator'!$S$12/12))&gt;R103,"stop",(H103+I102)*(1+('Mortgage Calculator'!$S$12/12))),"")</f>
        <v/>
      </c>
      <c r="M103" s="83" t="str">
        <f t="shared" si="9"/>
        <v/>
      </c>
      <c r="N103" s="83"/>
      <c r="O103" s="105" t="str">
        <f>IFERROR(M103/M103*'Mortgage Calculator'!$U$28,"")</f>
        <v/>
      </c>
      <c r="P103" s="105" t="str">
        <f>IFERROR(M103/M103*R102*'Mortgage Calculator'!$C$13/12,"")</f>
        <v/>
      </c>
      <c r="Q103" s="105" t="str">
        <f t="shared" si="10"/>
        <v/>
      </c>
      <c r="R103" s="105" t="str">
        <f t="shared" si="11"/>
        <v/>
      </c>
    </row>
    <row r="104" spans="3:18" x14ac:dyDescent="0.3">
      <c r="C104" s="1" t="e">
        <f t="shared" si="7"/>
        <v>#VALUE!</v>
      </c>
      <c r="D104" s="1" t="str">
        <f t="shared" si="6"/>
        <v/>
      </c>
      <c r="F104" s="52" t="e">
        <f>'Mortgage Calculator'!$G$9*((1+'Mortgage Calculator'!$P$8)^(MISC!C104-1))</f>
        <v>#VALUE!</v>
      </c>
      <c r="G104" s="70" t="e">
        <f>'Mortgage Calculator'!$U$25*((1+'Mortgage Calculator'!$S$10)^(MISC!C104-1))</f>
        <v>#VALUE!</v>
      </c>
      <c r="H104" s="52" t="e">
        <f t="shared" si="8"/>
        <v>#VALUE!</v>
      </c>
      <c r="I104" s="69" t="str">
        <f>IFERROR(IF((H104+I103)*(1+('Mortgage Calculator'!$S$12/12))&gt;R104,"stop",(H104+I103)*(1+('Mortgage Calculator'!$S$12/12))),"")</f>
        <v/>
      </c>
      <c r="M104" s="83" t="str">
        <f t="shared" si="9"/>
        <v/>
      </c>
      <c r="N104" s="83"/>
      <c r="O104" s="105" t="str">
        <f>IFERROR(M104/M104*'Mortgage Calculator'!$U$28,"")</f>
        <v/>
      </c>
      <c r="P104" s="105" t="str">
        <f>IFERROR(M104/M104*R103*'Mortgage Calculator'!$C$13/12,"")</f>
        <v/>
      </c>
      <c r="Q104" s="105" t="str">
        <f t="shared" si="10"/>
        <v/>
      </c>
      <c r="R104" s="105" t="str">
        <f t="shared" si="11"/>
        <v/>
      </c>
    </row>
    <row r="105" spans="3:18" x14ac:dyDescent="0.3">
      <c r="C105" s="1" t="e">
        <f t="shared" si="7"/>
        <v>#VALUE!</v>
      </c>
      <c r="D105" s="1" t="str">
        <f t="shared" si="6"/>
        <v/>
      </c>
      <c r="F105" s="52" t="e">
        <f>'Mortgage Calculator'!$G$9*((1+'Mortgage Calculator'!$P$8)^(MISC!C105-1))</f>
        <v>#VALUE!</v>
      </c>
      <c r="G105" s="70" t="e">
        <f>'Mortgage Calculator'!$U$25*((1+'Mortgage Calculator'!$S$10)^(MISC!C105-1))</f>
        <v>#VALUE!</v>
      </c>
      <c r="H105" s="52" t="e">
        <f t="shared" si="8"/>
        <v>#VALUE!</v>
      </c>
      <c r="I105" s="69" t="str">
        <f>IFERROR(IF((H105+I104)*(1+('Mortgage Calculator'!$S$12/12))&gt;R105,"stop",(H105+I104)*(1+('Mortgage Calculator'!$S$12/12))),"")</f>
        <v/>
      </c>
      <c r="M105" s="83" t="str">
        <f t="shared" si="9"/>
        <v/>
      </c>
      <c r="N105" s="83"/>
      <c r="O105" s="105" t="str">
        <f>IFERROR(M105/M105*'Mortgage Calculator'!$U$28,"")</f>
        <v/>
      </c>
      <c r="P105" s="105" t="str">
        <f>IFERROR(M105/M105*R104*'Mortgage Calculator'!$C$13/12,"")</f>
        <v/>
      </c>
      <c r="Q105" s="105" t="str">
        <f t="shared" si="10"/>
        <v/>
      </c>
      <c r="R105" s="105" t="str">
        <f t="shared" si="11"/>
        <v/>
      </c>
    </row>
    <row r="106" spans="3:18" x14ac:dyDescent="0.3">
      <c r="C106" s="1" t="e">
        <f t="shared" si="7"/>
        <v>#VALUE!</v>
      </c>
      <c r="D106" s="1" t="str">
        <f t="shared" si="6"/>
        <v/>
      </c>
      <c r="F106" s="52" t="e">
        <f>'Mortgage Calculator'!$G$9*((1+'Mortgage Calculator'!$P$8)^(MISC!C106-1))</f>
        <v>#VALUE!</v>
      </c>
      <c r="G106" s="70" t="e">
        <f>'Mortgage Calculator'!$U$25*((1+'Mortgage Calculator'!$S$10)^(MISC!C106-1))</f>
        <v>#VALUE!</v>
      </c>
      <c r="H106" s="52" t="e">
        <f t="shared" si="8"/>
        <v>#VALUE!</v>
      </c>
      <c r="I106" s="69" t="str">
        <f>IFERROR(IF((H106+I105)*(1+('Mortgage Calculator'!$S$12/12))&gt;R106,"stop",(H106+I105)*(1+('Mortgage Calculator'!$S$12/12))),"")</f>
        <v/>
      </c>
      <c r="M106" s="83" t="str">
        <f t="shared" si="9"/>
        <v/>
      </c>
      <c r="N106" s="83"/>
      <c r="O106" s="105" t="str">
        <f>IFERROR(M106/M106*'Mortgage Calculator'!$U$28,"")</f>
        <v/>
      </c>
      <c r="P106" s="105" t="str">
        <f>IFERROR(M106/M106*R105*'Mortgage Calculator'!$C$13/12,"")</f>
        <v/>
      </c>
      <c r="Q106" s="105" t="str">
        <f t="shared" si="10"/>
        <v/>
      </c>
      <c r="R106" s="105" t="str">
        <f t="shared" si="11"/>
        <v/>
      </c>
    </row>
    <row r="107" spans="3:18" x14ac:dyDescent="0.3">
      <c r="C107" s="1" t="e">
        <f t="shared" si="7"/>
        <v>#VALUE!</v>
      </c>
      <c r="D107" s="1" t="str">
        <f t="shared" si="6"/>
        <v/>
      </c>
      <c r="F107" s="52" t="e">
        <f>'Mortgage Calculator'!$G$9*((1+'Mortgage Calculator'!$P$8)^(MISC!C107-1))</f>
        <v>#VALUE!</v>
      </c>
      <c r="G107" s="70" t="e">
        <f>'Mortgage Calculator'!$U$25*((1+'Mortgage Calculator'!$S$10)^(MISC!C107-1))</f>
        <v>#VALUE!</v>
      </c>
      <c r="H107" s="52" t="e">
        <f t="shared" si="8"/>
        <v>#VALUE!</v>
      </c>
      <c r="I107" s="69" t="str">
        <f>IFERROR(IF((H107+I106)*(1+('Mortgage Calculator'!$S$12/12))&gt;R107,"stop",(H107+I106)*(1+('Mortgage Calculator'!$S$12/12))),"")</f>
        <v/>
      </c>
      <c r="M107" s="83" t="str">
        <f t="shared" si="9"/>
        <v/>
      </c>
      <c r="N107" s="83"/>
      <c r="O107" s="105" t="str">
        <f>IFERROR(M107/M107*'Mortgage Calculator'!$U$28,"")</f>
        <v/>
      </c>
      <c r="P107" s="105" t="str">
        <f>IFERROR(M107/M107*R106*'Mortgage Calculator'!$C$13/12,"")</f>
        <v/>
      </c>
      <c r="Q107" s="105" t="str">
        <f t="shared" si="10"/>
        <v/>
      </c>
      <c r="R107" s="105" t="str">
        <f t="shared" si="11"/>
        <v/>
      </c>
    </row>
    <row r="108" spans="3:18" x14ac:dyDescent="0.3">
      <c r="C108" s="1" t="e">
        <f t="shared" si="7"/>
        <v>#VALUE!</v>
      </c>
      <c r="D108" s="1" t="str">
        <f t="shared" si="6"/>
        <v/>
      </c>
      <c r="F108" s="52" t="e">
        <f>'Mortgage Calculator'!$G$9*((1+'Mortgage Calculator'!$P$8)^(MISC!C108-1))</f>
        <v>#VALUE!</v>
      </c>
      <c r="G108" s="70" t="e">
        <f>'Mortgage Calculator'!$U$25*((1+'Mortgage Calculator'!$S$10)^(MISC!C108-1))</f>
        <v>#VALUE!</v>
      </c>
      <c r="H108" s="52" t="e">
        <f t="shared" si="8"/>
        <v>#VALUE!</v>
      </c>
      <c r="I108" s="69" t="str">
        <f>IFERROR(IF((H108+I107)*(1+('Mortgage Calculator'!$S$12/12))&gt;R108,"stop",(H108+I107)*(1+('Mortgage Calculator'!$S$12/12))),"")</f>
        <v/>
      </c>
      <c r="M108" s="83" t="str">
        <f t="shared" si="9"/>
        <v/>
      </c>
      <c r="N108" s="83"/>
      <c r="O108" s="105" t="str">
        <f>IFERROR(M108/M108*'Mortgage Calculator'!$U$28,"")</f>
        <v/>
      </c>
      <c r="P108" s="105" t="str">
        <f>IFERROR(M108/M108*R107*'Mortgage Calculator'!$C$13/12,"")</f>
        <v/>
      </c>
      <c r="Q108" s="105" t="str">
        <f t="shared" si="10"/>
        <v/>
      </c>
      <c r="R108" s="105" t="str">
        <f t="shared" si="11"/>
        <v/>
      </c>
    </row>
    <row r="109" spans="3:18" x14ac:dyDescent="0.3">
      <c r="C109" s="1" t="e">
        <f t="shared" si="7"/>
        <v>#VALUE!</v>
      </c>
      <c r="D109" s="1" t="str">
        <f t="shared" si="6"/>
        <v/>
      </c>
      <c r="F109" s="52" t="e">
        <f>'Mortgage Calculator'!$G$9*((1+'Mortgage Calculator'!$P$8)^(MISC!C109-1))</f>
        <v>#VALUE!</v>
      </c>
      <c r="G109" s="70" t="e">
        <f>'Mortgage Calculator'!$U$25*((1+'Mortgage Calculator'!$S$10)^(MISC!C109-1))</f>
        <v>#VALUE!</v>
      </c>
      <c r="H109" s="52" t="e">
        <f t="shared" si="8"/>
        <v>#VALUE!</v>
      </c>
      <c r="I109" s="69" t="str">
        <f>IFERROR(IF((H109+I108)*(1+('Mortgage Calculator'!$S$12/12))&gt;R109,"stop",(H109+I108)*(1+('Mortgage Calculator'!$S$12/12))),"")</f>
        <v/>
      </c>
      <c r="M109" s="83" t="str">
        <f t="shared" si="9"/>
        <v/>
      </c>
      <c r="N109" s="83"/>
      <c r="O109" s="105" t="str">
        <f>IFERROR(M109/M109*'Mortgage Calculator'!$U$28,"")</f>
        <v/>
      </c>
      <c r="P109" s="105" t="str">
        <f>IFERROR(M109/M109*R108*'Mortgage Calculator'!$C$13/12,"")</f>
        <v/>
      </c>
      <c r="Q109" s="105" t="str">
        <f t="shared" si="10"/>
        <v/>
      </c>
      <c r="R109" s="105" t="str">
        <f t="shared" si="11"/>
        <v/>
      </c>
    </row>
    <row r="110" spans="3:18" x14ac:dyDescent="0.3">
      <c r="C110" s="1" t="e">
        <f t="shared" si="7"/>
        <v>#VALUE!</v>
      </c>
      <c r="D110" s="1" t="str">
        <f t="shared" si="6"/>
        <v/>
      </c>
      <c r="F110" s="52" t="e">
        <f>'Mortgage Calculator'!$G$9*((1+'Mortgage Calculator'!$P$8)^(MISC!C110-1))</f>
        <v>#VALUE!</v>
      </c>
      <c r="G110" s="70" t="e">
        <f>'Mortgage Calculator'!$U$25*((1+'Mortgage Calculator'!$S$10)^(MISC!C110-1))</f>
        <v>#VALUE!</v>
      </c>
      <c r="H110" s="52" t="e">
        <f t="shared" si="8"/>
        <v>#VALUE!</v>
      </c>
      <c r="I110" s="69" t="str">
        <f>IFERROR(IF((H110+I109)*(1+('Mortgage Calculator'!$S$12/12))&gt;R110,"stop",(H110+I109)*(1+('Mortgage Calculator'!$S$12/12))),"")</f>
        <v/>
      </c>
      <c r="M110" s="83" t="str">
        <f t="shared" si="9"/>
        <v/>
      </c>
      <c r="N110" s="83"/>
      <c r="O110" s="105" t="str">
        <f>IFERROR(M110/M110*'Mortgage Calculator'!$U$28,"")</f>
        <v/>
      </c>
      <c r="P110" s="105" t="str">
        <f>IFERROR(M110/M110*R109*'Mortgage Calculator'!$C$13/12,"")</f>
        <v/>
      </c>
      <c r="Q110" s="105" t="str">
        <f t="shared" si="10"/>
        <v/>
      </c>
      <c r="R110" s="105" t="str">
        <f t="shared" si="11"/>
        <v/>
      </c>
    </row>
    <row r="111" spans="3:18" x14ac:dyDescent="0.3">
      <c r="C111" s="1" t="e">
        <f t="shared" si="7"/>
        <v>#VALUE!</v>
      </c>
      <c r="D111" s="1" t="str">
        <f t="shared" si="6"/>
        <v/>
      </c>
      <c r="F111" s="52" t="e">
        <f>'Mortgage Calculator'!$G$9*((1+'Mortgage Calculator'!$P$8)^(MISC!C111-1))</f>
        <v>#VALUE!</v>
      </c>
      <c r="G111" s="70" t="e">
        <f>'Mortgage Calculator'!$U$25*((1+'Mortgage Calculator'!$S$10)^(MISC!C111-1))</f>
        <v>#VALUE!</v>
      </c>
      <c r="H111" s="52" t="e">
        <f t="shared" si="8"/>
        <v>#VALUE!</v>
      </c>
      <c r="I111" s="69" t="str">
        <f>IFERROR(IF((H111+I110)*(1+('Mortgage Calculator'!$S$12/12))&gt;R111,"stop",(H111+I110)*(1+('Mortgage Calculator'!$S$12/12))),"")</f>
        <v/>
      </c>
      <c r="M111" s="83" t="str">
        <f t="shared" si="9"/>
        <v/>
      </c>
      <c r="N111" s="83"/>
      <c r="O111" s="105" t="str">
        <f>IFERROR(M111/M111*'Mortgage Calculator'!$U$28,"")</f>
        <v/>
      </c>
      <c r="P111" s="105" t="str">
        <f>IFERROR(M111/M111*R110*'Mortgage Calculator'!$C$13/12,"")</f>
        <v/>
      </c>
      <c r="Q111" s="105" t="str">
        <f t="shared" si="10"/>
        <v/>
      </c>
      <c r="R111" s="105" t="str">
        <f t="shared" si="11"/>
        <v/>
      </c>
    </row>
    <row r="112" spans="3:18" x14ac:dyDescent="0.3">
      <c r="C112" s="1" t="e">
        <f t="shared" si="7"/>
        <v>#VALUE!</v>
      </c>
      <c r="D112" s="1" t="str">
        <f t="shared" si="6"/>
        <v/>
      </c>
      <c r="F112" s="52" t="e">
        <f>'Mortgage Calculator'!$G$9*((1+'Mortgage Calculator'!$P$8)^(MISC!C112-1))</f>
        <v>#VALUE!</v>
      </c>
      <c r="G112" s="70" t="e">
        <f>'Mortgage Calculator'!$U$25*((1+'Mortgage Calculator'!$S$10)^(MISC!C112-1))</f>
        <v>#VALUE!</v>
      </c>
      <c r="H112" s="52" t="e">
        <f t="shared" si="8"/>
        <v>#VALUE!</v>
      </c>
      <c r="I112" s="69" t="str">
        <f>IFERROR(IF((H112+I111)*(1+('Mortgage Calculator'!$S$12/12))&gt;R112,"stop",(H112+I111)*(1+('Mortgage Calculator'!$S$12/12))),"")</f>
        <v/>
      </c>
      <c r="M112" s="83" t="str">
        <f t="shared" si="9"/>
        <v/>
      </c>
      <c r="N112" s="83"/>
      <c r="O112" s="105" t="str">
        <f>IFERROR(M112/M112*'Mortgage Calculator'!$U$28,"")</f>
        <v/>
      </c>
      <c r="P112" s="105" t="str">
        <f>IFERROR(M112/M112*R111*'Mortgage Calculator'!$C$13/12,"")</f>
        <v/>
      </c>
      <c r="Q112" s="105" t="str">
        <f t="shared" si="10"/>
        <v/>
      </c>
      <c r="R112" s="105" t="str">
        <f t="shared" si="11"/>
        <v/>
      </c>
    </row>
    <row r="113" spans="3:18" x14ac:dyDescent="0.3">
      <c r="C113" s="1" t="e">
        <f t="shared" si="7"/>
        <v>#VALUE!</v>
      </c>
      <c r="D113" s="1" t="str">
        <f t="shared" si="6"/>
        <v/>
      </c>
      <c r="F113" s="52" t="e">
        <f>'Mortgage Calculator'!$G$9*((1+'Mortgage Calculator'!$P$8)^(MISC!C113-1))</f>
        <v>#VALUE!</v>
      </c>
      <c r="G113" s="70" t="e">
        <f>'Mortgage Calculator'!$U$25*((1+'Mortgage Calculator'!$S$10)^(MISC!C113-1))</f>
        <v>#VALUE!</v>
      </c>
      <c r="H113" s="52" t="e">
        <f t="shared" si="8"/>
        <v>#VALUE!</v>
      </c>
      <c r="I113" s="69" t="str">
        <f>IFERROR(IF((H113+I112)*(1+('Mortgage Calculator'!$S$12/12))&gt;R113,"stop",(H113+I112)*(1+('Mortgage Calculator'!$S$12/12))),"")</f>
        <v/>
      </c>
      <c r="M113" s="83" t="str">
        <f t="shared" si="9"/>
        <v/>
      </c>
      <c r="N113" s="83"/>
      <c r="O113" s="105" t="str">
        <f>IFERROR(M113/M113*'Mortgage Calculator'!$U$28,"")</f>
        <v/>
      </c>
      <c r="P113" s="105" t="str">
        <f>IFERROR(M113/M113*R112*'Mortgage Calculator'!$C$13/12,"")</f>
        <v/>
      </c>
      <c r="Q113" s="105" t="str">
        <f t="shared" si="10"/>
        <v/>
      </c>
      <c r="R113" s="105" t="str">
        <f t="shared" si="11"/>
        <v/>
      </c>
    </row>
    <row r="114" spans="3:18" x14ac:dyDescent="0.3">
      <c r="C114" s="1" t="e">
        <f t="shared" si="7"/>
        <v>#VALUE!</v>
      </c>
      <c r="D114" s="1" t="str">
        <f t="shared" si="6"/>
        <v/>
      </c>
      <c r="F114" s="52" t="e">
        <f>'Mortgage Calculator'!$G$9*((1+'Mortgage Calculator'!$P$8)^(MISC!C114-1))</f>
        <v>#VALUE!</v>
      </c>
      <c r="G114" s="70" t="e">
        <f>'Mortgage Calculator'!$U$25*((1+'Mortgage Calculator'!$S$10)^(MISC!C114-1))</f>
        <v>#VALUE!</v>
      </c>
      <c r="H114" s="52" t="e">
        <f t="shared" si="8"/>
        <v>#VALUE!</v>
      </c>
      <c r="I114" s="69" t="str">
        <f>IFERROR(IF((H114+I113)*(1+('Mortgage Calculator'!$S$12/12))&gt;R114,"stop",(H114+I113)*(1+('Mortgage Calculator'!$S$12/12))),"")</f>
        <v/>
      </c>
      <c r="M114" s="83" t="str">
        <f t="shared" si="9"/>
        <v/>
      </c>
      <c r="N114" s="83"/>
      <c r="O114" s="105" t="str">
        <f>IFERROR(M114/M114*'Mortgage Calculator'!$U$28,"")</f>
        <v/>
      </c>
      <c r="P114" s="105" t="str">
        <f>IFERROR(M114/M114*R113*'Mortgage Calculator'!$C$13/12,"")</f>
        <v/>
      </c>
      <c r="Q114" s="105" t="str">
        <f t="shared" si="10"/>
        <v/>
      </c>
      <c r="R114" s="105" t="str">
        <f t="shared" si="11"/>
        <v/>
      </c>
    </row>
    <row r="115" spans="3:18" x14ac:dyDescent="0.3">
      <c r="C115" s="1" t="e">
        <f t="shared" si="7"/>
        <v>#VALUE!</v>
      </c>
      <c r="D115" s="1" t="str">
        <f t="shared" si="6"/>
        <v/>
      </c>
      <c r="F115" s="52" t="e">
        <f>'Mortgage Calculator'!$G$9*((1+'Mortgage Calculator'!$P$8)^(MISC!C115-1))</f>
        <v>#VALUE!</v>
      </c>
      <c r="G115" s="70" t="e">
        <f>'Mortgage Calculator'!$U$25*((1+'Mortgage Calculator'!$S$10)^(MISC!C115-1))</f>
        <v>#VALUE!</v>
      </c>
      <c r="H115" s="52" t="e">
        <f t="shared" si="8"/>
        <v>#VALUE!</v>
      </c>
      <c r="I115" s="69" t="str">
        <f>IFERROR(IF((H115+I114)*(1+('Mortgage Calculator'!$S$12/12))&gt;R115,"stop",(H115+I114)*(1+('Mortgage Calculator'!$S$12/12))),"")</f>
        <v/>
      </c>
      <c r="M115" s="83" t="str">
        <f t="shared" si="9"/>
        <v/>
      </c>
      <c r="N115" s="83"/>
      <c r="O115" s="105" t="str">
        <f>IFERROR(M115/M115*'Mortgage Calculator'!$U$28,"")</f>
        <v/>
      </c>
      <c r="P115" s="105" t="str">
        <f>IFERROR(M115/M115*R114*'Mortgage Calculator'!$C$13/12,"")</f>
        <v/>
      </c>
      <c r="Q115" s="105" t="str">
        <f t="shared" si="10"/>
        <v/>
      </c>
      <c r="R115" s="105" t="str">
        <f t="shared" si="11"/>
        <v/>
      </c>
    </row>
    <row r="116" spans="3:18" x14ac:dyDescent="0.3">
      <c r="C116" s="1" t="e">
        <f t="shared" si="7"/>
        <v>#VALUE!</v>
      </c>
      <c r="D116" s="1" t="str">
        <f t="shared" si="6"/>
        <v/>
      </c>
      <c r="F116" s="52" t="e">
        <f>'Mortgage Calculator'!$G$9*((1+'Mortgage Calculator'!$P$8)^(MISC!C116-1))</f>
        <v>#VALUE!</v>
      </c>
      <c r="G116" s="70" t="e">
        <f>'Mortgage Calculator'!$U$25*((1+'Mortgage Calculator'!$S$10)^(MISC!C116-1))</f>
        <v>#VALUE!</v>
      </c>
      <c r="H116" s="52" t="e">
        <f t="shared" si="8"/>
        <v>#VALUE!</v>
      </c>
      <c r="I116" s="69" t="str">
        <f>IFERROR(IF((H116+I115)*(1+('Mortgage Calculator'!$S$12/12))&gt;R116,"stop",(H116+I115)*(1+('Mortgage Calculator'!$S$12/12))),"")</f>
        <v/>
      </c>
      <c r="M116" s="83" t="str">
        <f t="shared" si="9"/>
        <v/>
      </c>
      <c r="N116" s="83"/>
      <c r="O116" s="105" t="str">
        <f>IFERROR(M116/M116*'Mortgage Calculator'!$U$28,"")</f>
        <v/>
      </c>
      <c r="P116" s="105" t="str">
        <f>IFERROR(M116/M116*R115*'Mortgage Calculator'!$C$13/12,"")</f>
        <v/>
      </c>
      <c r="Q116" s="105" t="str">
        <f t="shared" si="10"/>
        <v/>
      </c>
      <c r="R116" s="105" t="str">
        <f t="shared" si="11"/>
        <v/>
      </c>
    </row>
    <row r="117" spans="3:18" x14ac:dyDescent="0.3">
      <c r="C117" s="1" t="e">
        <f t="shared" si="7"/>
        <v>#VALUE!</v>
      </c>
      <c r="D117" s="1" t="str">
        <f t="shared" si="6"/>
        <v/>
      </c>
      <c r="F117" s="52" t="e">
        <f>'Mortgage Calculator'!$G$9*((1+'Mortgage Calculator'!$P$8)^(MISC!C117-1))</f>
        <v>#VALUE!</v>
      </c>
      <c r="G117" s="70" t="e">
        <f>'Mortgage Calculator'!$U$25*((1+'Mortgage Calculator'!$S$10)^(MISC!C117-1))</f>
        <v>#VALUE!</v>
      </c>
      <c r="H117" s="52" t="e">
        <f t="shared" si="8"/>
        <v>#VALUE!</v>
      </c>
      <c r="I117" s="69" t="str">
        <f>IFERROR(IF((H117+I116)*(1+('Mortgage Calculator'!$S$12/12))&gt;R117,"stop",(H117+I116)*(1+('Mortgage Calculator'!$S$12/12))),"")</f>
        <v/>
      </c>
      <c r="M117" s="83" t="str">
        <f t="shared" si="9"/>
        <v/>
      </c>
      <c r="N117" s="83"/>
      <c r="O117" s="105" t="str">
        <f>IFERROR(M117/M117*'Mortgage Calculator'!$U$28,"")</f>
        <v/>
      </c>
      <c r="P117" s="105" t="str">
        <f>IFERROR(M117/M117*R116*'Mortgage Calculator'!$C$13/12,"")</f>
        <v/>
      </c>
      <c r="Q117" s="105" t="str">
        <f t="shared" si="10"/>
        <v/>
      </c>
      <c r="R117" s="105" t="str">
        <f t="shared" si="11"/>
        <v/>
      </c>
    </row>
    <row r="118" spans="3:18" x14ac:dyDescent="0.3">
      <c r="C118" s="1" t="e">
        <f t="shared" si="7"/>
        <v>#VALUE!</v>
      </c>
      <c r="D118" s="1" t="str">
        <f t="shared" si="6"/>
        <v/>
      </c>
      <c r="F118" s="52" t="e">
        <f>'Mortgage Calculator'!$G$9*((1+'Mortgage Calculator'!$P$8)^(MISC!C118-1))</f>
        <v>#VALUE!</v>
      </c>
      <c r="G118" s="70" t="e">
        <f>'Mortgage Calculator'!$U$25*((1+'Mortgage Calculator'!$S$10)^(MISC!C118-1))</f>
        <v>#VALUE!</v>
      </c>
      <c r="H118" s="52" t="e">
        <f t="shared" si="8"/>
        <v>#VALUE!</v>
      </c>
      <c r="I118" s="69" t="str">
        <f>IFERROR(IF((H118+I117)*(1+('Mortgage Calculator'!$S$12/12))&gt;R118,"stop",(H118+I117)*(1+('Mortgage Calculator'!$S$12/12))),"")</f>
        <v/>
      </c>
      <c r="M118" s="83" t="str">
        <f t="shared" si="9"/>
        <v/>
      </c>
      <c r="N118" s="83"/>
      <c r="O118" s="105" t="str">
        <f>IFERROR(M118/M118*'Mortgage Calculator'!$U$28,"")</f>
        <v/>
      </c>
      <c r="P118" s="105" t="str">
        <f>IFERROR(M118/M118*R117*'Mortgage Calculator'!$C$13/12,"")</f>
        <v/>
      </c>
      <c r="Q118" s="105" t="str">
        <f t="shared" si="10"/>
        <v/>
      </c>
      <c r="R118" s="105" t="str">
        <f t="shared" si="11"/>
        <v/>
      </c>
    </row>
    <row r="119" spans="3:18" x14ac:dyDescent="0.3">
      <c r="C119" s="1" t="e">
        <f t="shared" si="7"/>
        <v>#VALUE!</v>
      </c>
      <c r="D119" s="1" t="str">
        <f t="shared" si="6"/>
        <v/>
      </c>
      <c r="F119" s="52" t="e">
        <f>'Mortgage Calculator'!$G$9*((1+'Mortgage Calculator'!$P$8)^(MISC!C119-1))</f>
        <v>#VALUE!</v>
      </c>
      <c r="G119" s="70" t="e">
        <f>'Mortgage Calculator'!$U$25*((1+'Mortgage Calculator'!$S$10)^(MISC!C119-1))</f>
        <v>#VALUE!</v>
      </c>
      <c r="H119" s="52" t="e">
        <f t="shared" si="8"/>
        <v>#VALUE!</v>
      </c>
      <c r="I119" s="69" t="str">
        <f>IFERROR(IF((H119+I118)*(1+('Mortgage Calculator'!$S$12/12))&gt;R119,"stop",(H119+I118)*(1+('Mortgage Calculator'!$S$12/12))),"")</f>
        <v/>
      </c>
      <c r="M119" s="83" t="str">
        <f t="shared" si="9"/>
        <v/>
      </c>
      <c r="N119" s="83"/>
      <c r="O119" s="105" t="str">
        <f>IFERROR(M119/M119*'Mortgage Calculator'!$U$28,"")</f>
        <v/>
      </c>
      <c r="P119" s="105" t="str">
        <f>IFERROR(M119/M119*R118*'Mortgage Calculator'!$C$13/12,"")</f>
        <v/>
      </c>
      <c r="Q119" s="105" t="str">
        <f t="shared" si="10"/>
        <v/>
      </c>
      <c r="R119" s="105" t="str">
        <f t="shared" si="11"/>
        <v/>
      </c>
    </row>
    <row r="120" spans="3:18" x14ac:dyDescent="0.3">
      <c r="C120" s="1" t="e">
        <f t="shared" si="7"/>
        <v>#VALUE!</v>
      </c>
      <c r="D120" s="1" t="str">
        <f t="shared" si="6"/>
        <v/>
      </c>
      <c r="F120" s="52" t="e">
        <f>'Mortgage Calculator'!$G$9*((1+'Mortgage Calculator'!$P$8)^(MISC!C120-1))</f>
        <v>#VALUE!</v>
      </c>
      <c r="G120" s="70" t="e">
        <f>'Mortgage Calculator'!$U$25*((1+'Mortgage Calculator'!$S$10)^(MISC!C120-1))</f>
        <v>#VALUE!</v>
      </c>
      <c r="H120" s="52" t="e">
        <f t="shared" si="8"/>
        <v>#VALUE!</v>
      </c>
      <c r="I120" s="69" t="str">
        <f>IFERROR(IF((H120+I119)*(1+('Mortgage Calculator'!$S$12/12))&gt;R120,"stop",(H120+I119)*(1+('Mortgage Calculator'!$S$12/12))),"")</f>
        <v/>
      </c>
      <c r="M120" s="83" t="str">
        <f t="shared" si="9"/>
        <v/>
      </c>
      <c r="N120" s="83"/>
      <c r="O120" s="105" t="str">
        <f>IFERROR(M120/M120*'Mortgage Calculator'!$U$28,"")</f>
        <v/>
      </c>
      <c r="P120" s="105" t="str">
        <f>IFERROR(M120/M120*R119*'Mortgage Calculator'!$C$13/12,"")</f>
        <v/>
      </c>
      <c r="Q120" s="105" t="str">
        <f t="shared" si="10"/>
        <v/>
      </c>
      <c r="R120" s="105" t="str">
        <f t="shared" si="11"/>
        <v/>
      </c>
    </row>
    <row r="121" spans="3:18" x14ac:dyDescent="0.3">
      <c r="C121" s="1" t="e">
        <f t="shared" si="7"/>
        <v>#VALUE!</v>
      </c>
      <c r="D121" s="1" t="str">
        <f t="shared" si="6"/>
        <v/>
      </c>
      <c r="F121" s="52" t="e">
        <f>'Mortgage Calculator'!$G$9*((1+'Mortgage Calculator'!$P$8)^(MISC!C121-1))</f>
        <v>#VALUE!</v>
      </c>
      <c r="G121" s="70" t="e">
        <f>'Mortgage Calculator'!$U$25*((1+'Mortgage Calculator'!$S$10)^(MISC!C121-1))</f>
        <v>#VALUE!</v>
      </c>
      <c r="H121" s="52" t="e">
        <f t="shared" si="8"/>
        <v>#VALUE!</v>
      </c>
      <c r="I121" s="69" t="str">
        <f>IFERROR(IF((H121+I120)*(1+('Mortgage Calculator'!$S$12/12))&gt;R121,"stop",(H121+I120)*(1+('Mortgage Calculator'!$S$12/12))),"")</f>
        <v/>
      </c>
      <c r="M121" s="83" t="str">
        <f t="shared" si="9"/>
        <v/>
      </c>
      <c r="N121" s="83"/>
      <c r="O121" s="105" t="str">
        <f>IFERROR(M121/M121*'Mortgage Calculator'!$U$28,"")</f>
        <v/>
      </c>
      <c r="P121" s="105" t="str">
        <f>IFERROR(M121/M121*R120*'Mortgage Calculator'!$C$13/12,"")</f>
        <v/>
      </c>
      <c r="Q121" s="105" t="str">
        <f t="shared" si="10"/>
        <v/>
      </c>
      <c r="R121" s="105" t="str">
        <f t="shared" si="11"/>
        <v/>
      </c>
    </row>
    <row r="122" spans="3:18" x14ac:dyDescent="0.3">
      <c r="C122" s="1" t="e">
        <f t="shared" si="7"/>
        <v>#VALUE!</v>
      </c>
      <c r="D122" s="1" t="str">
        <f t="shared" si="6"/>
        <v/>
      </c>
      <c r="F122" s="52" t="e">
        <f>'Mortgage Calculator'!$G$9*((1+'Mortgage Calculator'!$P$8)^(MISC!C122-1))</f>
        <v>#VALUE!</v>
      </c>
      <c r="G122" s="70" t="e">
        <f>'Mortgage Calculator'!$U$25*((1+'Mortgage Calculator'!$S$10)^(MISC!C122-1))</f>
        <v>#VALUE!</v>
      </c>
      <c r="H122" s="52" t="e">
        <f t="shared" si="8"/>
        <v>#VALUE!</v>
      </c>
      <c r="I122" s="69" t="str">
        <f>IFERROR(IF((H122+I121)*(1+('Mortgage Calculator'!$S$12/12))&gt;R122,"stop",(H122+I121)*(1+('Mortgage Calculator'!$S$12/12))),"")</f>
        <v/>
      </c>
      <c r="M122" s="83" t="str">
        <f t="shared" si="9"/>
        <v/>
      </c>
      <c r="N122" s="83"/>
      <c r="O122" s="105" t="str">
        <f>IFERROR(M122/M122*'Mortgage Calculator'!$U$28,"")</f>
        <v/>
      </c>
      <c r="P122" s="105" t="str">
        <f>IFERROR(M122/M122*R121*'Mortgage Calculator'!$C$13/12,"")</f>
        <v/>
      </c>
      <c r="Q122" s="105" t="str">
        <f t="shared" si="10"/>
        <v/>
      </c>
      <c r="R122" s="105" t="str">
        <f t="shared" si="11"/>
        <v/>
      </c>
    </row>
    <row r="123" spans="3:18" x14ac:dyDescent="0.3">
      <c r="C123" s="1" t="e">
        <f t="shared" si="7"/>
        <v>#VALUE!</v>
      </c>
      <c r="D123" s="1" t="str">
        <f t="shared" si="6"/>
        <v/>
      </c>
      <c r="F123" s="52" t="e">
        <f>'Mortgage Calculator'!$G$9*((1+'Mortgage Calculator'!$P$8)^(MISC!C123-1))</f>
        <v>#VALUE!</v>
      </c>
      <c r="G123" s="70" t="e">
        <f>'Mortgage Calculator'!$U$25*((1+'Mortgage Calculator'!$S$10)^(MISC!C123-1))</f>
        <v>#VALUE!</v>
      </c>
      <c r="H123" s="52" t="e">
        <f t="shared" si="8"/>
        <v>#VALUE!</v>
      </c>
      <c r="I123" s="69" t="str">
        <f>IFERROR(IF((H123+I122)*(1+('Mortgage Calculator'!$S$12/12))&gt;R123,"stop",(H123+I122)*(1+('Mortgage Calculator'!$S$12/12))),"")</f>
        <v/>
      </c>
      <c r="M123" s="83" t="str">
        <f t="shared" si="9"/>
        <v/>
      </c>
      <c r="N123" s="83"/>
      <c r="O123" s="105" t="str">
        <f>IFERROR(M123/M123*'Mortgage Calculator'!$U$28,"")</f>
        <v/>
      </c>
      <c r="P123" s="105" t="str">
        <f>IFERROR(M123/M123*R122*'Mortgage Calculator'!$C$13/12,"")</f>
        <v/>
      </c>
      <c r="Q123" s="105" t="str">
        <f t="shared" si="10"/>
        <v/>
      </c>
      <c r="R123" s="105" t="str">
        <f t="shared" si="11"/>
        <v/>
      </c>
    </row>
    <row r="124" spans="3:18" x14ac:dyDescent="0.3">
      <c r="C124" s="1" t="e">
        <f t="shared" si="7"/>
        <v>#VALUE!</v>
      </c>
      <c r="D124" s="1" t="str">
        <f t="shared" si="6"/>
        <v/>
      </c>
      <c r="F124" s="52" t="e">
        <f>'Mortgage Calculator'!$G$9*((1+'Mortgage Calculator'!$P$8)^(MISC!C124-1))</f>
        <v>#VALUE!</v>
      </c>
      <c r="G124" s="70" t="e">
        <f>'Mortgage Calculator'!$U$25*((1+'Mortgage Calculator'!$S$10)^(MISC!C124-1))</f>
        <v>#VALUE!</v>
      </c>
      <c r="H124" s="52" t="e">
        <f t="shared" si="8"/>
        <v>#VALUE!</v>
      </c>
      <c r="I124" s="69" t="str">
        <f>IFERROR(IF((H124+I123)*(1+('Mortgage Calculator'!$S$12/12))&gt;R124,"stop",(H124+I123)*(1+('Mortgage Calculator'!$S$12/12))),"")</f>
        <v/>
      </c>
      <c r="M124" s="83" t="str">
        <f t="shared" si="9"/>
        <v/>
      </c>
      <c r="N124" s="83"/>
      <c r="O124" s="105" t="str">
        <f>IFERROR(M124/M124*'Mortgage Calculator'!$U$28,"")</f>
        <v/>
      </c>
      <c r="P124" s="105" t="str">
        <f>IFERROR(M124/M124*R123*'Mortgage Calculator'!$C$13/12,"")</f>
        <v/>
      </c>
      <c r="Q124" s="105" t="str">
        <f t="shared" si="10"/>
        <v/>
      </c>
      <c r="R124" s="105" t="str">
        <f t="shared" si="11"/>
        <v/>
      </c>
    </row>
    <row r="125" spans="3:18" x14ac:dyDescent="0.3">
      <c r="C125" s="1" t="e">
        <f t="shared" si="7"/>
        <v>#VALUE!</v>
      </c>
      <c r="D125" s="1" t="str">
        <f t="shared" si="6"/>
        <v/>
      </c>
      <c r="F125" s="52" t="e">
        <f>'Mortgage Calculator'!$G$9*((1+'Mortgage Calculator'!$P$8)^(MISC!C125-1))</f>
        <v>#VALUE!</v>
      </c>
      <c r="G125" s="70" t="e">
        <f>'Mortgage Calculator'!$U$25*((1+'Mortgage Calculator'!$S$10)^(MISC!C125-1))</f>
        <v>#VALUE!</v>
      </c>
      <c r="H125" s="52" t="e">
        <f t="shared" si="8"/>
        <v>#VALUE!</v>
      </c>
      <c r="I125" s="69" t="str">
        <f>IFERROR(IF((H125+I124)*(1+('Mortgage Calculator'!$S$12/12))&gt;R125,"stop",(H125+I124)*(1+('Mortgage Calculator'!$S$12/12))),"")</f>
        <v/>
      </c>
      <c r="M125" s="83" t="str">
        <f t="shared" si="9"/>
        <v/>
      </c>
      <c r="N125" s="83"/>
      <c r="O125" s="105" t="str">
        <f>IFERROR(M125/M125*'Mortgage Calculator'!$U$28,"")</f>
        <v/>
      </c>
      <c r="P125" s="105" t="str">
        <f>IFERROR(M125/M125*R124*'Mortgage Calculator'!$C$13/12,"")</f>
        <v/>
      </c>
      <c r="Q125" s="105" t="str">
        <f t="shared" si="10"/>
        <v/>
      </c>
      <c r="R125" s="105" t="str">
        <f t="shared" si="11"/>
        <v/>
      </c>
    </row>
    <row r="126" spans="3:18" x14ac:dyDescent="0.3">
      <c r="C126" s="1" t="e">
        <f t="shared" si="7"/>
        <v>#VALUE!</v>
      </c>
      <c r="D126" s="1" t="str">
        <f t="shared" si="6"/>
        <v/>
      </c>
      <c r="F126" s="52" t="e">
        <f>'Mortgage Calculator'!$G$9*((1+'Mortgage Calculator'!$P$8)^(MISC!C126-1))</f>
        <v>#VALUE!</v>
      </c>
      <c r="G126" s="70" t="e">
        <f>'Mortgage Calculator'!$U$25*((1+'Mortgage Calculator'!$S$10)^(MISC!C126-1))</f>
        <v>#VALUE!</v>
      </c>
      <c r="H126" s="52" t="e">
        <f t="shared" si="8"/>
        <v>#VALUE!</v>
      </c>
      <c r="I126" s="69" t="str">
        <f>IFERROR(IF((H126+I125)*(1+('Mortgage Calculator'!$S$12/12))&gt;R126,"stop",(H126+I125)*(1+('Mortgage Calculator'!$S$12/12))),"")</f>
        <v/>
      </c>
      <c r="M126" s="83" t="str">
        <f t="shared" si="9"/>
        <v/>
      </c>
      <c r="N126" s="83"/>
      <c r="O126" s="105" t="str">
        <f>IFERROR(M126/M126*'Mortgage Calculator'!$U$28,"")</f>
        <v/>
      </c>
      <c r="P126" s="105" t="str">
        <f>IFERROR(M126/M126*R125*'Mortgage Calculator'!$C$13/12,"")</f>
        <v/>
      </c>
      <c r="Q126" s="105" t="str">
        <f t="shared" si="10"/>
        <v/>
      </c>
      <c r="R126" s="105" t="str">
        <f t="shared" si="11"/>
        <v/>
      </c>
    </row>
    <row r="127" spans="3:18" x14ac:dyDescent="0.3">
      <c r="C127" s="1" t="e">
        <f t="shared" si="7"/>
        <v>#VALUE!</v>
      </c>
      <c r="D127" s="1" t="str">
        <f t="shared" si="6"/>
        <v/>
      </c>
      <c r="F127" s="52" t="e">
        <f>'Mortgage Calculator'!$G$9*((1+'Mortgage Calculator'!$P$8)^(MISC!C127-1))</f>
        <v>#VALUE!</v>
      </c>
      <c r="G127" s="70" t="e">
        <f>'Mortgage Calculator'!$U$25*((1+'Mortgage Calculator'!$S$10)^(MISC!C127-1))</f>
        <v>#VALUE!</v>
      </c>
      <c r="H127" s="52" t="e">
        <f t="shared" si="8"/>
        <v>#VALUE!</v>
      </c>
      <c r="I127" s="69" t="str">
        <f>IFERROR(IF((H127+I126)*(1+('Mortgage Calculator'!$S$12/12))&gt;R127,"stop",(H127+I126)*(1+('Mortgage Calculator'!$S$12/12))),"")</f>
        <v/>
      </c>
      <c r="M127" s="83" t="str">
        <f t="shared" si="9"/>
        <v/>
      </c>
      <c r="N127" s="83"/>
      <c r="O127" s="105" t="str">
        <f>IFERROR(M127/M127*'Mortgage Calculator'!$U$28,"")</f>
        <v/>
      </c>
      <c r="P127" s="105" t="str">
        <f>IFERROR(M127/M127*R126*'Mortgage Calculator'!$C$13/12,"")</f>
        <v/>
      </c>
      <c r="Q127" s="105" t="str">
        <f t="shared" si="10"/>
        <v/>
      </c>
      <c r="R127" s="105" t="str">
        <f t="shared" si="11"/>
        <v/>
      </c>
    </row>
    <row r="128" spans="3:18" x14ac:dyDescent="0.3">
      <c r="C128" s="1" t="e">
        <f t="shared" si="7"/>
        <v>#VALUE!</v>
      </c>
      <c r="D128" s="1" t="str">
        <f t="shared" si="6"/>
        <v/>
      </c>
      <c r="F128" s="52" t="e">
        <f>'Mortgage Calculator'!$G$9*((1+'Mortgage Calculator'!$P$8)^(MISC!C128-1))</f>
        <v>#VALUE!</v>
      </c>
      <c r="G128" s="70" t="e">
        <f>'Mortgage Calculator'!$U$25*((1+'Mortgage Calculator'!$S$10)^(MISC!C128-1))</f>
        <v>#VALUE!</v>
      </c>
      <c r="H128" s="52" t="e">
        <f t="shared" si="8"/>
        <v>#VALUE!</v>
      </c>
      <c r="I128" s="69" t="str">
        <f>IFERROR(IF((H128+I127)*(1+('Mortgage Calculator'!$S$12/12))&gt;R128,"stop",(H128+I127)*(1+('Mortgage Calculator'!$S$12/12))),"")</f>
        <v/>
      </c>
      <c r="M128" s="83" t="str">
        <f t="shared" si="9"/>
        <v/>
      </c>
      <c r="N128" s="83"/>
      <c r="O128" s="105" t="str">
        <f>IFERROR(M128/M128*'Mortgage Calculator'!$U$28,"")</f>
        <v/>
      </c>
      <c r="P128" s="105" t="str">
        <f>IFERROR(M128/M128*R127*'Mortgage Calculator'!$C$13/12,"")</f>
        <v/>
      </c>
      <c r="Q128" s="105" t="str">
        <f t="shared" si="10"/>
        <v/>
      </c>
      <c r="R128" s="105" t="str">
        <f t="shared" si="11"/>
        <v/>
      </c>
    </row>
    <row r="129" spans="3:18" x14ac:dyDescent="0.3">
      <c r="C129" s="1" t="e">
        <f t="shared" si="7"/>
        <v>#VALUE!</v>
      </c>
      <c r="D129" s="1" t="str">
        <f t="shared" si="6"/>
        <v/>
      </c>
      <c r="F129" s="52" t="e">
        <f>'Mortgage Calculator'!$G$9*((1+'Mortgage Calculator'!$P$8)^(MISC!C129-1))</f>
        <v>#VALUE!</v>
      </c>
      <c r="G129" s="70" t="e">
        <f>'Mortgage Calculator'!$U$25*((1+'Mortgage Calculator'!$S$10)^(MISC!C129-1))</f>
        <v>#VALUE!</v>
      </c>
      <c r="H129" s="52" t="e">
        <f t="shared" si="8"/>
        <v>#VALUE!</v>
      </c>
      <c r="I129" s="69" t="str">
        <f>IFERROR(IF((H129+I128)*(1+('Mortgage Calculator'!$S$12/12))&gt;R129,"stop",(H129+I128)*(1+('Mortgage Calculator'!$S$12/12))),"")</f>
        <v/>
      </c>
      <c r="M129" s="83" t="str">
        <f t="shared" si="9"/>
        <v/>
      </c>
      <c r="N129" s="83"/>
      <c r="O129" s="105" t="str">
        <f>IFERROR(M129/M129*'Mortgage Calculator'!$U$28,"")</f>
        <v/>
      </c>
      <c r="P129" s="105" t="str">
        <f>IFERROR(M129/M129*R128*'Mortgage Calculator'!$C$13/12,"")</f>
        <v/>
      </c>
      <c r="Q129" s="105" t="str">
        <f t="shared" si="10"/>
        <v/>
      </c>
      <c r="R129" s="105" t="str">
        <f t="shared" si="11"/>
        <v/>
      </c>
    </row>
    <row r="130" spans="3:18" x14ac:dyDescent="0.3">
      <c r="C130" s="1" t="e">
        <f t="shared" si="7"/>
        <v>#VALUE!</v>
      </c>
      <c r="D130" s="1" t="str">
        <f t="shared" si="6"/>
        <v/>
      </c>
      <c r="F130" s="52" t="e">
        <f>'Mortgage Calculator'!$G$9*((1+'Mortgage Calculator'!$P$8)^(MISC!C130-1))</f>
        <v>#VALUE!</v>
      </c>
      <c r="G130" s="70" t="e">
        <f>'Mortgage Calculator'!$U$25*((1+'Mortgage Calculator'!$S$10)^(MISC!C130-1))</f>
        <v>#VALUE!</v>
      </c>
      <c r="H130" s="52" t="e">
        <f t="shared" si="8"/>
        <v>#VALUE!</v>
      </c>
      <c r="I130" s="69" t="str">
        <f>IFERROR(IF((H130+I129)*(1+('Mortgage Calculator'!$S$12/12))&gt;R130,"stop",(H130+I129)*(1+('Mortgage Calculator'!$S$12/12))),"")</f>
        <v/>
      </c>
      <c r="M130" s="83" t="str">
        <f t="shared" si="9"/>
        <v/>
      </c>
      <c r="N130" s="83"/>
      <c r="O130" s="105" t="str">
        <f>IFERROR(M130/M130*'Mortgage Calculator'!$U$28,"")</f>
        <v/>
      </c>
      <c r="P130" s="105" t="str">
        <f>IFERROR(M130/M130*R129*'Mortgage Calculator'!$C$13/12,"")</f>
        <v/>
      </c>
      <c r="Q130" s="105" t="str">
        <f t="shared" si="10"/>
        <v/>
      </c>
      <c r="R130" s="105" t="str">
        <f t="shared" si="11"/>
        <v/>
      </c>
    </row>
    <row r="131" spans="3:18" x14ac:dyDescent="0.3">
      <c r="C131" s="1" t="e">
        <f t="shared" si="7"/>
        <v>#VALUE!</v>
      </c>
      <c r="D131" s="1" t="str">
        <f t="shared" si="6"/>
        <v/>
      </c>
      <c r="F131" s="52" t="e">
        <f>'Mortgage Calculator'!$G$9*((1+'Mortgage Calculator'!$P$8)^(MISC!C131-1))</f>
        <v>#VALUE!</v>
      </c>
      <c r="G131" s="70" t="e">
        <f>'Mortgage Calculator'!$U$25*((1+'Mortgage Calculator'!$S$10)^(MISC!C131-1))</f>
        <v>#VALUE!</v>
      </c>
      <c r="H131" s="52" t="e">
        <f t="shared" si="8"/>
        <v>#VALUE!</v>
      </c>
      <c r="I131" s="69" t="str">
        <f>IFERROR(IF((H131+I130)*(1+('Mortgage Calculator'!$S$12/12))&gt;R131,"stop",(H131+I130)*(1+('Mortgage Calculator'!$S$12/12))),"")</f>
        <v/>
      </c>
      <c r="M131" s="83" t="str">
        <f t="shared" si="9"/>
        <v/>
      </c>
      <c r="N131" s="83"/>
      <c r="O131" s="105" t="str">
        <f>IFERROR(M131/M131*'Mortgage Calculator'!$U$28,"")</f>
        <v/>
      </c>
      <c r="P131" s="105" t="str">
        <f>IFERROR(M131/M131*R130*'Mortgage Calculator'!$C$13/12,"")</f>
        <v/>
      </c>
      <c r="Q131" s="105" t="str">
        <f t="shared" si="10"/>
        <v/>
      </c>
      <c r="R131" s="105" t="str">
        <f t="shared" si="11"/>
        <v/>
      </c>
    </row>
    <row r="132" spans="3:18" x14ac:dyDescent="0.3">
      <c r="C132" s="1" t="e">
        <f t="shared" si="7"/>
        <v>#VALUE!</v>
      </c>
      <c r="D132" s="1" t="str">
        <f t="shared" si="6"/>
        <v/>
      </c>
      <c r="F132" s="52" t="e">
        <f>'Mortgage Calculator'!$G$9*((1+'Mortgage Calculator'!$P$8)^(MISC!C132-1))</f>
        <v>#VALUE!</v>
      </c>
      <c r="G132" s="70" t="e">
        <f>'Mortgage Calculator'!$U$25*((1+'Mortgage Calculator'!$S$10)^(MISC!C132-1))</f>
        <v>#VALUE!</v>
      </c>
      <c r="H132" s="52" t="e">
        <f t="shared" si="8"/>
        <v>#VALUE!</v>
      </c>
      <c r="I132" s="69" t="str">
        <f>IFERROR(IF((H132+I131)*(1+('Mortgage Calculator'!$S$12/12))&gt;R132,"stop",(H132+I131)*(1+('Mortgage Calculator'!$S$12/12))),"")</f>
        <v/>
      </c>
      <c r="M132" s="83" t="str">
        <f t="shared" si="9"/>
        <v/>
      </c>
      <c r="N132" s="83"/>
      <c r="O132" s="105" t="str">
        <f>IFERROR(M132/M132*'Mortgage Calculator'!$U$28,"")</f>
        <v/>
      </c>
      <c r="P132" s="105" t="str">
        <f>IFERROR(M132/M132*R131*'Mortgage Calculator'!$C$13/12,"")</f>
        <v/>
      </c>
      <c r="Q132" s="105" t="str">
        <f t="shared" si="10"/>
        <v/>
      </c>
      <c r="R132" s="105" t="str">
        <f t="shared" si="11"/>
        <v/>
      </c>
    </row>
    <row r="133" spans="3:18" x14ac:dyDescent="0.3">
      <c r="C133" s="1" t="e">
        <f t="shared" si="7"/>
        <v>#VALUE!</v>
      </c>
      <c r="D133" s="1" t="str">
        <f t="shared" si="6"/>
        <v/>
      </c>
      <c r="F133" s="52" t="e">
        <f>'Mortgage Calculator'!$G$9*((1+'Mortgage Calculator'!$P$8)^(MISC!C133-1))</f>
        <v>#VALUE!</v>
      </c>
      <c r="G133" s="70" t="e">
        <f>'Mortgage Calculator'!$U$25*((1+'Mortgage Calculator'!$S$10)^(MISC!C133-1))</f>
        <v>#VALUE!</v>
      </c>
      <c r="H133" s="52" t="e">
        <f t="shared" si="8"/>
        <v>#VALUE!</v>
      </c>
      <c r="I133" s="69" t="str">
        <f>IFERROR(IF((H133+I132)*(1+('Mortgage Calculator'!$S$12/12))&gt;R133,"stop",(H133+I132)*(1+('Mortgage Calculator'!$S$12/12))),"")</f>
        <v/>
      </c>
      <c r="M133" s="83" t="str">
        <f t="shared" si="9"/>
        <v/>
      </c>
      <c r="N133" s="83"/>
      <c r="O133" s="105" t="str">
        <f>IFERROR(M133/M133*'Mortgage Calculator'!$U$28,"")</f>
        <v/>
      </c>
      <c r="P133" s="105" t="str">
        <f>IFERROR(M133/M133*R132*'Mortgage Calculator'!$C$13/12,"")</f>
        <v/>
      </c>
      <c r="Q133" s="105" t="str">
        <f t="shared" si="10"/>
        <v/>
      </c>
      <c r="R133" s="105" t="str">
        <f t="shared" si="11"/>
        <v/>
      </c>
    </row>
    <row r="134" spans="3:18" x14ac:dyDescent="0.3">
      <c r="C134" s="1" t="e">
        <f t="shared" si="7"/>
        <v>#VALUE!</v>
      </c>
      <c r="D134" s="1" t="str">
        <f t="shared" si="6"/>
        <v/>
      </c>
      <c r="F134" s="52" t="e">
        <f>'Mortgage Calculator'!$G$9*((1+'Mortgage Calculator'!$P$8)^(MISC!C134-1))</f>
        <v>#VALUE!</v>
      </c>
      <c r="G134" s="70" t="e">
        <f>'Mortgage Calculator'!$U$25*((1+'Mortgage Calculator'!$S$10)^(MISC!C134-1))</f>
        <v>#VALUE!</v>
      </c>
      <c r="H134" s="52" t="e">
        <f t="shared" si="8"/>
        <v>#VALUE!</v>
      </c>
      <c r="I134" s="69" t="str">
        <f>IFERROR(IF((H134+I133)*(1+('Mortgage Calculator'!$S$12/12))&gt;R134,"stop",(H134+I133)*(1+('Mortgage Calculator'!$S$12/12))),"")</f>
        <v/>
      </c>
      <c r="M134" s="83" t="str">
        <f t="shared" si="9"/>
        <v/>
      </c>
      <c r="N134" s="83"/>
      <c r="O134" s="105" t="str">
        <f>IFERROR(M134/M134*'Mortgage Calculator'!$U$28,"")</f>
        <v/>
      </c>
      <c r="P134" s="105" t="str">
        <f>IFERROR(M134/M134*R133*'Mortgage Calculator'!$C$13/12,"")</f>
        <v/>
      </c>
      <c r="Q134" s="105" t="str">
        <f t="shared" si="10"/>
        <v/>
      </c>
      <c r="R134" s="105" t="str">
        <f t="shared" si="11"/>
        <v/>
      </c>
    </row>
    <row r="135" spans="3:18" x14ac:dyDescent="0.3">
      <c r="C135" s="1" t="e">
        <f t="shared" si="7"/>
        <v>#VALUE!</v>
      </c>
      <c r="D135" s="1" t="str">
        <f t="shared" si="6"/>
        <v/>
      </c>
      <c r="F135" s="52" t="e">
        <f>'Mortgage Calculator'!$G$9*((1+'Mortgage Calculator'!$P$8)^(MISC!C135-1))</f>
        <v>#VALUE!</v>
      </c>
      <c r="G135" s="70" t="e">
        <f>'Mortgage Calculator'!$U$25*((1+'Mortgage Calculator'!$S$10)^(MISC!C135-1))</f>
        <v>#VALUE!</v>
      </c>
      <c r="H135" s="52" t="e">
        <f t="shared" si="8"/>
        <v>#VALUE!</v>
      </c>
      <c r="I135" s="69" t="str">
        <f>IFERROR(IF((H135+I134)*(1+('Mortgage Calculator'!$S$12/12))&gt;R135,"stop",(H135+I134)*(1+('Mortgage Calculator'!$S$12/12))),"")</f>
        <v/>
      </c>
      <c r="M135" s="83" t="str">
        <f t="shared" si="9"/>
        <v/>
      </c>
      <c r="N135" s="83"/>
      <c r="O135" s="105" t="str">
        <f>IFERROR(M135/M135*'Mortgage Calculator'!$U$28,"")</f>
        <v/>
      </c>
      <c r="P135" s="105" t="str">
        <f>IFERROR(M135/M135*R134*'Mortgage Calculator'!$C$13/12,"")</f>
        <v/>
      </c>
      <c r="Q135" s="105" t="str">
        <f t="shared" si="10"/>
        <v/>
      </c>
      <c r="R135" s="105" t="str">
        <f t="shared" si="11"/>
        <v/>
      </c>
    </row>
    <row r="136" spans="3:18" x14ac:dyDescent="0.3">
      <c r="C136" s="1" t="e">
        <f t="shared" si="7"/>
        <v>#VALUE!</v>
      </c>
      <c r="D136" s="1" t="str">
        <f t="shared" si="6"/>
        <v/>
      </c>
      <c r="F136" s="52" t="e">
        <f>'Mortgage Calculator'!$G$9*((1+'Mortgage Calculator'!$P$8)^(MISC!C136-1))</f>
        <v>#VALUE!</v>
      </c>
      <c r="G136" s="70" t="e">
        <f>'Mortgage Calculator'!$U$25*((1+'Mortgage Calculator'!$S$10)^(MISC!C136-1))</f>
        <v>#VALUE!</v>
      </c>
      <c r="H136" s="52" t="e">
        <f t="shared" si="8"/>
        <v>#VALUE!</v>
      </c>
      <c r="I136" s="69" t="str">
        <f>IFERROR(IF((H136+I135)*(1+('Mortgage Calculator'!$S$12/12))&gt;R136,"stop",(H136+I135)*(1+('Mortgage Calculator'!$S$12/12))),"")</f>
        <v/>
      </c>
      <c r="M136" s="83" t="str">
        <f t="shared" si="9"/>
        <v/>
      </c>
      <c r="N136" s="83"/>
      <c r="O136" s="105" t="str">
        <f>IFERROR(M136/M136*'Mortgage Calculator'!$U$28,"")</f>
        <v/>
      </c>
      <c r="P136" s="105" t="str">
        <f>IFERROR(M136/M136*R135*'Mortgage Calculator'!$C$13/12,"")</f>
        <v/>
      </c>
      <c r="Q136" s="105" t="str">
        <f t="shared" si="10"/>
        <v/>
      </c>
      <c r="R136" s="105" t="str">
        <f t="shared" si="11"/>
        <v/>
      </c>
    </row>
    <row r="137" spans="3:18" x14ac:dyDescent="0.3">
      <c r="C137" s="1" t="e">
        <f t="shared" si="7"/>
        <v>#VALUE!</v>
      </c>
      <c r="D137" s="1" t="str">
        <f t="shared" si="6"/>
        <v/>
      </c>
      <c r="F137" s="52" t="e">
        <f>'Mortgage Calculator'!$G$9*((1+'Mortgage Calculator'!$P$8)^(MISC!C137-1))</f>
        <v>#VALUE!</v>
      </c>
      <c r="G137" s="70" t="e">
        <f>'Mortgage Calculator'!$U$25*((1+'Mortgage Calculator'!$S$10)^(MISC!C137-1))</f>
        <v>#VALUE!</v>
      </c>
      <c r="H137" s="52" t="e">
        <f t="shared" si="8"/>
        <v>#VALUE!</v>
      </c>
      <c r="I137" s="69" t="str">
        <f>IFERROR(IF((H137+I136)*(1+('Mortgage Calculator'!$S$12/12))&gt;R137,"stop",(H137+I136)*(1+('Mortgage Calculator'!$S$12/12))),"")</f>
        <v/>
      </c>
      <c r="M137" s="83" t="str">
        <f t="shared" si="9"/>
        <v/>
      </c>
      <c r="N137" s="83"/>
      <c r="O137" s="105" t="str">
        <f>IFERROR(M137/M137*'Mortgage Calculator'!$U$28,"")</f>
        <v/>
      </c>
      <c r="P137" s="105" t="str">
        <f>IFERROR(M137/M137*R136*'Mortgage Calculator'!$C$13/12,"")</f>
        <v/>
      </c>
      <c r="Q137" s="105" t="str">
        <f t="shared" si="10"/>
        <v/>
      </c>
      <c r="R137" s="105" t="str">
        <f t="shared" si="11"/>
        <v/>
      </c>
    </row>
    <row r="138" spans="3:18" x14ac:dyDescent="0.3">
      <c r="C138" s="1" t="e">
        <f t="shared" si="7"/>
        <v>#VALUE!</v>
      </c>
      <c r="D138" s="1" t="str">
        <f t="shared" ref="D138:D201" si="12">IF(E138="","",ROW()-9)</f>
        <v/>
      </c>
      <c r="F138" s="52" t="e">
        <f>'Mortgage Calculator'!$G$9*((1+'Mortgage Calculator'!$P$8)^(MISC!C138-1))</f>
        <v>#VALUE!</v>
      </c>
      <c r="G138" s="70" t="e">
        <f>'Mortgage Calculator'!$U$25*((1+'Mortgage Calculator'!$S$10)^(MISC!C138-1))</f>
        <v>#VALUE!</v>
      </c>
      <c r="H138" s="52" t="e">
        <f t="shared" si="8"/>
        <v>#VALUE!</v>
      </c>
      <c r="I138" s="69" t="str">
        <f>IFERROR(IF((H138+I137)*(1+('Mortgage Calculator'!$S$12/12))&gt;R138,"stop",(H138+I137)*(1+('Mortgage Calculator'!$S$12/12))),"")</f>
        <v/>
      </c>
      <c r="M138" s="83" t="str">
        <f t="shared" si="9"/>
        <v/>
      </c>
      <c r="N138" s="83"/>
      <c r="O138" s="105" t="str">
        <f>IFERROR(M138/M138*'Mortgage Calculator'!$U$28,"")</f>
        <v/>
      </c>
      <c r="P138" s="105" t="str">
        <f>IFERROR(M138/M138*R137*'Mortgage Calculator'!$C$13/12,"")</f>
        <v/>
      </c>
      <c r="Q138" s="105" t="str">
        <f t="shared" si="10"/>
        <v/>
      </c>
      <c r="R138" s="105" t="str">
        <f t="shared" si="11"/>
        <v/>
      </c>
    </row>
    <row r="139" spans="3:18" x14ac:dyDescent="0.3">
      <c r="C139" s="1" t="e">
        <f t="shared" ref="C139:C202" si="13">ROUNDUP(D139/12,0)</f>
        <v>#VALUE!</v>
      </c>
      <c r="D139" s="1" t="str">
        <f t="shared" si="12"/>
        <v/>
      </c>
      <c r="F139" s="52" t="e">
        <f>'Mortgage Calculator'!$G$9*((1+'Mortgage Calculator'!$P$8)^(MISC!C139-1))</f>
        <v>#VALUE!</v>
      </c>
      <c r="G139" s="70" t="e">
        <f>'Mortgage Calculator'!$U$25*((1+'Mortgage Calculator'!$S$10)^(MISC!C139-1))</f>
        <v>#VALUE!</v>
      </c>
      <c r="H139" s="52" t="e">
        <f t="shared" ref="H139:H202" si="14">F139-G139</f>
        <v>#VALUE!</v>
      </c>
      <c r="I139" s="69" t="str">
        <f>IFERROR(IF((H139+I138)*(1+('Mortgage Calculator'!$S$12/12))&gt;R139,"stop",(H139+I138)*(1+('Mortgage Calculator'!$S$12/12))),"")</f>
        <v/>
      </c>
      <c r="M139" s="83" t="str">
        <f t="shared" ref="M139:M202" si="15">IF(N139="","",ROW()-9)</f>
        <v/>
      </c>
      <c r="N139" s="83"/>
      <c r="O139" s="105" t="str">
        <f>IFERROR(M139/M139*'Mortgage Calculator'!$U$28,"")</f>
        <v/>
      </c>
      <c r="P139" s="105" t="str">
        <f>IFERROR(M139/M139*R138*'Mortgage Calculator'!$C$13/12,"")</f>
        <v/>
      </c>
      <c r="Q139" s="105" t="str">
        <f t="shared" ref="Q139:Q202" si="16">IFERROR(O139-P139,"")</f>
        <v/>
      </c>
      <c r="R139" s="105" t="str">
        <f t="shared" ref="R139:R202" si="17">IFERROR(R138-Q139,"")</f>
        <v/>
      </c>
    </row>
    <row r="140" spans="3:18" x14ac:dyDescent="0.3">
      <c r="C140" s="1" t="e">
        <f t="shared" si="13"/>
        <v>#VALUE!</v>
      </c>
      <c r="D140" s="1" t="str">
        <f t="shared" si="12"/>
        <v/>
      </c>
      <c r="F140" s="52" t="e">
        <f>'Mortgage Calculator'!$G$9*((1+'Mortgage Calculator'!$P$8)^(MISC!C140-1))</f>
        <v>#VALUE!</v>
      </c>
      <c r="G140" s="70" t="e">
        <f>'Mortgage Calculator'!$U$25*((1+'Mortgage Calculator'!$S$10)^(MISC!C140-1))</f>
        <v>#VALUE!</v>
      </c>
      <c r="H140" s="52" t="e">
        <f t="shared" si="14"/>
        <v>#VALUE!</v>
      </c>
      <c r="I140" s="69" t="str">
        <f>IFERROR(IF((H140+I139)*(1+('Mortgage Calculator'!$S$12/12))&gt;R140,"stop",(H140+I139)*(1+('Mortgage Calculator'!$S$12/12))),"")</f>
        <v/>
      </c>
      <c r="M140" s="83" t="str">
        <f t="shared" si="15"/>
        <v/>
      </c>
      <c r="N140" s="83"/>
      <c r="O140" s="105" t="str">
        <f>IFERROR(M140/M140*'Mortgage Calculator'!$U$28,"")</f>
        <v/>
      </c>
      <c r="P140" s="105" t="str">
        <f>IFERROR(M140/M140*R139*'Mortgage Calculator'!$C$13/12,"")</f>
        <v/>
      </c>
      <c r="Q140" s="105" t="str">
        <f t="shared" si="16"/>
        <v/>
      </c>
      <c r="R140" s="105" t="str">
        <f t="shared" si="17"/>
        <v/>
      </c>
    </row>
    <row r="141" spans="3:18" x14ac:dyDescent="0.3">
      <c r="C141" s="1" t="e">
        <f t="shared" si="13"/>
        <v>#VALUE!</v>
      </c>
      <c r="D141" s="1" t="str">
        <f t="shared" si="12"/>
        <v/>
      </c>
      <c r="F141" s="52" t="e">
        <f>'Mortgage Calculator'!$G$9*((1+'Mortgage Calculator'!$P$8)^(MISC!C141-1))</f>
        <v>#VALUE!</v>
      </c>
      <c r="G141" s="70" t="e">
        <f>'Mortgage Calculator'!$U$25*((1+'Mortgage Calculator'!$S$10)^(MISC!C141-1))</f>
        <v>#VALUE!</v>
      </c>
      <c r="H141" s="52" t="e">
        <f t="shared" si="14"/>
        <v>#VALUE!</v>
      </c>
      <c r="I141" s="69" t="str">
        <f>IFERROR(IF((H141+I140)*(1+('Mortgage Calculator'!$S$12/12))&gt;R141,"stop",(H141+I140)*(1+('Mortgage Calculator'!$S$12/12))),"")</f>
        <v/>
      </c>
      <c r="M141" s="83" t="str">
        <f t="shared" si="15"/>
        <v/>
      </c>
      <c r="N141" s="83"/>
      <c r="O141" s="105" t="str">
        <f>IFERROR(M141/M141*'Mortgage Calculator'!$U$28,"")</f>
        <v/>
      </c>
      <c r="P141" s="105" t="str">
        <f>IFERROR(M141/M141*R140*'Mortgage Calculator'!$C$13/12,"")</f>
        <v/>
      </c>
      <c r="Q141" s="105" t="str">
        <f t="shared" si="16"/>
        <v/>
      </c>
      <c r="R141" s="105" t="str">
        <f t="shared" si="17"/>
        <v/>
      </c>
    </row>
    <row r="142" spans="3:18" x14ac:dyDescent="0.3">
      <c r="C142" s="1" t="e">
        <f t="shared" si="13"/>
        <v>#VALUE!</v>
      </c>
      <c r="D142" s="1" t="str">
        <f t="shared" si="12"/>
        <v/>
      </c>
      <c r="F142" s="52" t="e">
        <f>'Mortgage Calculator'!$G$9*((1+'Mortgage Calculator'!$P$8)^(MISC!C142-1))</f>
        <v>#VALUE!</v>
      </c>
      <c r="G142" s="70" t="e">
        <f>'Mortgage Calculator'!$U$25*((1+'Mortgage Calculator'!$S$10)^(MISC!C142-1))</f>
        <v>#VALUE!</v>
      </c>
      <c r="H142" s="52" t="e">
        <f t="shared" si="14"/>
        <v>#VALUE!</v>
      </c>
      <c r="I142" s="69" t="str">
        <f>IFERROR(IF((H142+I141)*(1+('Mortgage Calculator'!$S$12/12))&gt;R142,"stop",(H142+I141)*(1+('Mortgage Calculator'!$S$12/12))),"")</f>
        <v/>
      </c>
      <c r="M142" s="83" t="str">
        <f t="shared" si="15"/>
        <v/>
      </c>
      <c r="N142" s="83"/>
      <c r="O142" s="105" t="str">
        <f>IFERROR(M142/M142*'Mortgage Calculator'!$U$28,"")</f>
        <v/>
      </c>
      <c r="P142" s="105" t="str">
        <f>IFERROR(M142/M142*R141*'Mortgage Calculator'!$C$13/12,"")</f>
        <v/>
      </c>
      <c r="Q142" s="105" t="str">
        <f t="shared" si="16"/>
        <v/>
      </c>
      <c r="R142" s="105" t="str">
        <f t="shared" si="17"/>
        <v/>
      </c>
    </row>
    <row r="143" spans="3:18" x14ac:dyDescent="0.3">
      <c r="C143" s="1" t="e">
        <f t="shared" si="13"/>
        <v>#VALUE!</v>
      </c>
      <c r="D143" s="1" t="str">
        <f t="shared" si="12"/>
        <v/>
      </c>
      <c r="F143" s="52" t="e">
        <f>'Mortgage Calculator'!$G$9*((1+'Mortgage Calculator'!$P$8)^(MISC!C143-1))</f>
        <v>#VALUE!</v>
      </c>
      <c r="G143" s="70" t="e">
        <f>'Mortgage Calculator'!$U$25*((1+'Mortgage Calculator'!$S$10)^(MISC!C143-1))</f>
        <v>#VALUE!</v>
      </c>
      <c r="H143" s="52" t="e">
        <f t="shared" si="14"/>
        <v>#VALUE!</v>
      </c>
      <c r="I143" s="69" t="str">
        <f>IFERROR(IF((H143+I142)*(1+('Mortgage Calculator'!$S$12/12))&gt;R143,"stop",(H143+I142)*(1+('Mortgage Calculator'!$S$12/12))),"")</f>
        <v/>
      </c>
      <c r="M143" s="83" t="str">
        <f t="shared" si="15"/>
        <v/>
      </c>
      <c r="N143" s="83"/>
      <c r="O143" s="105" t="str">
        <f>IFERROR(M143/M143*'Mortgage Calculator'!$U$28,"")</f>
        <v/>
      </c>
      <c r="P143" s="105" t="str">
        <f>IFERROR(M143/M143*R142*'Mortgage Calculator'!$C$13/12,"")</f>
        <v/>
      </c>
      <c r="Q143" s="105" t="str">
        <f t="shared" si="16"/>
        <v/>
      </c>
      <c r="R143" s="105" t="str">
        <f t="shared" si="17"/>
        <v/>
      </c>
    </row>
    <row r="144" spans="3:18" x14ac:dyDescent="0.3">
      <c r="C144" s="1" t="e">
        <f t="shared" si="13"/>
        <v>#VALUE!</v>
      </c>
      <c r="D144" s="1" t="str">
        <f t="shared" si="12"/>
        <v/>
      </c>
      <c r="F144" s="52" t="e">
        <f>'Mortgage Calculator'!$G$9*((1+'Mortgage Calculator'!$P$8)^(MISC!C144-1))</f>
        <v>#VALUE!</v>
      </c>
      <c r="G144" s="70" t="e">
        <f>'Mortgage Calculator'!$U$25*((1+'Mortgage Calculator'!$S$10)^(MISC!C144-1))</f>
        <v>#VALUE!</v>
      </c>
      <c r="H144" s="52" t="e">
        <f t="shared" si="14"/>
        <v>#VALUE!</v>
      </c>
      <c r="I144" s="69" t="str">
        <f>IFERROR(IF((H144+I143)*(1+('Mortgage Calculator'!$S$12/12))&gt;R144,"stop",(H144+I143)*(1+('Mortgage Calculator'!$S$12/12))),"")</f>
        <v/>
      </c>
      <c r="M144" s="83" t="str">
        <f t="shared" si="15"/>
        <v/>
      </c>
      <c r="N144" s="83"/>
      <c r="O144" s="105" t="str">
        <f>IFERROR(M144/M144*'Mortgage Calculator'!$U$28,"")</f>
        <v/>
      </c>
      <c r="P144" s="105" t="str">
        <f>IFERROR(M144/M144*R143*'Mortgage Calculator'!$C$13/12,"")</f>
        <v/>
      </c>
      <c r="Q144" s="105" t="str">
        <f t="shared" si="16"/>
        <v/>
      </c>
      <c r="R144" s="105" t="str">
        <f t="shared" si="17"/>
        <v/>
      </c>
    </row>
    <row r="145" spans="3:18" x14ac:dyDescent="0.3">
      <c r="C145" s="1" t="e">
        <f t="shared" si="13"/>
        <v>#VALUE!</v>
      </c>
      <c r="D145" s="1" t="str">
        <f t="shared" si="12"/>
        <v/>
      </c>
      <c r="F145" s="52" t="e">
        <f>'Mortgage Calculator'!$G$9*((1+'Mortgage Calculator'!$P$8)^(MISC!C145-1))</f>
        <v>#VALUE!</v>
      </c>
      <c r="G145" s="70" t="e">
        <f>'Mortgage Calculator'!$U$25*((1+'Mortgage Calculator'!$S$10)^(MISC!C145-1))</f>
        <v>#VALUE!</v>
      </c>
      <c r="H145" s="52" t="e">
        <f t="shared" si="14"/>
        <v>#VALUE!</v>
      </c>
      <c r="I145" s="69" t="str">
        <f>IFERROR(IF((H145+I144)*(1+('Mortgage Calculator'!$S$12/12))&gt;R145,"stop",(H145+I144)*(1+('Mortgage Calculator'!$S$12/12))),"")</f>
        <v/>
      </c>
      <c r="M145" s="83" t="str">
        <f t="shared" si="15"/>
        <v/>
      </c>
      <c r="N145" s="83"/>
      <c r="O145" s="105" t="str">
        <f>IFERROR(M145/M145*'Mortgage Calculator'!$U$28,"")</f>
        <v/>
      </c>
      <c r="P145" s="105" t="str">
        <f>IFERROR(M145/M145*R144*'Mortgage Calculator'!$C$13/12,"")</f>
        <v/>
      </c>
      <c r="Q145" s="105" t="str">
        <f t="shared" si="16"/>
        <v/>
      </c>
      <c r="R145" s="105" t="str">
        <f t="shared" si="17"/>
        <v/>
      </c>
    </row>
    <row r="146" spans="3:18" x14ac:dyDescent="0.3">
      <c r="C146" s="1" t="e">
        <f t="shared" si="13"/>
        <v>#VALUE!</v>
      </c>
      <c r="D146" s="1" t="str">
        <f t="shared" si="12"/>
        <v/>
      </c>
      <c r="F146" s="52" t="e">
        <f>'Mortgage Calculator'!$G$9*((1+'Mortgage Calculator'!$P$8)^(MISC!C146-1))</f>
        <v>#VALUE!</v>
      </c>
      <c r="G146" s="70" t="e">
        <f>'Mortgage Calculator'!$U$25*((1+'Mortgage Calculator'!$S$10)^(MISC!C146-1))</f>
        <v>#VALUE!</v>
      </c>
      <c r="H146" s="52" t="e">
        <f t="shared" si="14"/>
        <v>#VALUE!</v>
      </c>
      <c r="I146" s="69" t="str">
        <f>IFERROR(IF((H146+I145)*(1+('Mortgage Calculator'!$S$12/12))&gt;R146,"stop",(H146+I145)*(1+('Mortgage Calculator'!$S$12/12))),"")</f>
        <v/>
      </c>
      <c r="M146" s="83" t="str">
        <f t="shared" si="15"/>
        <v/>
      </c>
      <c r="N146" s="83"/>
      <c r="O146" s="105" t="str">
        <f>IFERROR(M146/M146*'Mortgage Calculator'!$U$28,"")</f>
        <v/>
      </c>
      <c r="P146" s="105" t="str">
        <f>IFERROR(M146/M146*R145*'Mortgage Calculator'!$C$13/12,"")</f>
        <v/>
      </c>
      <c r="Q146" s="105" t="str">
        <f t="shared" si="16"/>
        <v/>
      </c>
      <c r="R146" s="105" t="str">
        <f t="shared" si="17"/>
        <v/>
      </c>
    </row>
    <row r="147" spans="3:18" x14ac:dyDescent="0.3">
      <c r="C147" s="1" t="e">
        <f t="shared" si="13"/>
        <v>#VALUE!</v>
      </c>
      <c r="D147" s="1" t="str">
        <f t="shared" si="12"/>
        <v/>
      </c>
      <c r="F147" s="52" t="e">
        <f>'Mortgage Calculator'!$G$9*((1+'Mortgage Calculator'!$P$8)^(MISC!C147-1))</f>
        <v>#VALUE!</v>
      </c>
      <c r="G147" s="70" t="e">
        <f>'Mortgage Calculator'!$U$25*((1+'Mortgage Calculator'!$S$10)^(MISC!C147-1))</f>
        <v>#VALUE!</v>
      </c>
      <c r="H147" s="52" t="e">
        <f t="shared" si="14"/>
        <v>#VALUE!</v>
      </c>
      <c r="I147" s="69" t="str">
        <f>IFERROR(IF((H147+I146)*(1+('Mortgage Calculator'!$S$12/12))&gt;R147,"stop",(H147+I146)*(1+('Mortgage Calculator'!$S$12/12))),"")</f>
        <v/>
      </c>
      <c r="M147" s="83" t="str">
        <f t="shared" si="15"/>
        <v/>
      </c>
      <c r="N147" s="83"/>
      <c r="O147" s="105" t="str">
        <f>IFERROR(M147/M147*'Mortgage Calculator'!$U$28,"")</f>
        <v/>
      </c>
      <c r="P147" s="105" t="str">
        <f>IFERROR(M147/M147*R146*'Mortgage Calculator'!$C$13/12,"")</f>
        <v/>
      </c>
      <c r="Q147" s="105" t="str">
        <f t="shared" si="16"/>
        <v/>
      </c>
      <c r="R147" s="105" t="str">
        <f t="shared" si="17"/>
        <v/>
      </c>
    </row>
    <row r="148" spans="3:18" x14ac:dyDescent="0.3">
      <c r="C148" s="1" t="e">
        <f t="shared" si="13"/>
        <v>#VALUE!</v>
      </c>
      <c r="D148" s="1" t="str">
        <f t="shared" si="12"/>
        <v/>
      </c>
      <c r="F148" s="52" t="e">
        <f>'Mortgage Calculator'!$G$9*((1+'Mortgage Calculator'!$P$8)^(MISC!C148-1))</f>
        <v>#VALUE!</v>
      </c>
      <c r="G148" s="70" t="e">
        <f>'Mortgage Calculator'!$U$25*((1+'Mortgage Calculator'!$S$10)^(MISC!C148-1))</f>
        <v>#VALUE!</v>
      </c>
      <c r="H148" s="52" t="e">
        <f t="shared" si="14"/>
        <v>#VALUE!</v>
      </c>
      <c r="I148" s="69" t="str">
        <f>IFERROR(IF((H148+I147)*(1+('Mortgage Calculator'!$S$12/12))&gt;R148,"stop",(H148+I147)*(1+('Mortgage Calculator'!$S$12/12))),"")</f>
        <v/>
      </c>
      <c r="M148" s="83" t="str">
        <f t="shared" si="15"/>
        <v/>
      </c>
      <c r="N148" s="83"/>
      <c r="O148" s="105" t="str">
        <f>IFERROR(M148/M148*'Mortgage Calculator'!$U$28,"")</f>
        <v/>
      </c>
      <c r="P148" s="105" t="str">
        <f>IFERROR(M148/M148*R147*'Mortgage Calculator'!$C$13/12,"")</f>
        <v/>
      </c>
      <c r="Q148" s="105" t="str">
        <f t="shared" si="16"/>
        <v/>
      </c>
      <c r="R148" s="105" t="str">
        <f t="shared" si="17"/>
        <v/>
      </c>
    </row>
    <row r="149" spans="3:18" x14ac:dyDescent="0.3">
      <c r="C149" s="1" t="e">
        <f t="shared" si="13"/>
        <v>#VALUE!</v>
      </c>
      <c r="D149" s="1" t="str">
        <f t="shared" si="12"/>
        <v/>
      </c>
      <c r="F149" s="52" t="e">
        <f>'Mortgage Calculator'!$G$9*((1+'Mortgage Calculator'!$P$8)^(MISC!C149-1))</f>
        <v>#VALUE!</v>
      </c>
      <c r="G149" s="70" t="e">
        <f>'Mortgage Calculator'!$U$25*((1+'Mortgage Calculator'!$S$10)^(MISC!C149-1))</f>
        <v>#VALUE!</v>
      </c>
      <c r="H149" s="52" t="e">
        <f t="shared" si="14"/>
        <v>#VALUE!</v>
      </c>
      <c r="I149" s="69" t="str">
        <f>IFERROR(IF((H149+I148)*(1+('Mortgage Calculator'!$S$12/12))&gt;R149,"stop",(H149+I148)*(1+('Mortgage Calculator'!$S$12/12))),"")</f>
        <v/>
      </c>
      <c r="M149" s="83" t="str">
        <f t="shared" si="15"/>
        <v/>
      </c>
      <c r="N149" s="83"/>
      <c r="O149" s="105" t="str">
        <f>IFERROR(M149/M149*'Mortgage Calculator'!$U$28,"")</f>
        <v/>
      </c>
      <c r="P149" s="105" t="str">
        <f>IFERROR(M149/M149*R148*'Mortgage Calculator'!$C$13/12,"")</f>
        <v/>
      </c>
      <c r="Q149" s="105" t="str">
        <f t="shared" si="16"/>
        <v/>
      </c>
      <c r="R149" s="105" t="str">
        <f t="shared" si="17"/>
        <v/>
      </c>
    </row>
    <row r="150" spans="3:18" x14ac:dyDescent="0.3">
      <c r="C150" s="1" t="e">
        <f t="shared" si="13"/>
        <v>#VALUE!</v>
      </c>
      <c r="D150" s="1" t="str">
        <f t="shared" si="12"/>
        <v/>
      </c>
      <c r="F150" s="52" t="e">
        <f>'Mortgage Calculator'!$G$9*((1+'Mortgage Calculator'!$P$8)^(MISC!C150-1))</f>
        <v>#VALUE!</v>
      </c>
      <c r="G150" s="70" t="e">
        <f>'Mortgage Calculator'!$U$25*((1+'Mortgage Calculator'!$S$10)^(MISC!C150-1))</f>
        <v>#VALUE!</v>
      </c>
      <c r="H150" s="52" t="e">
        <f t="shared" si="14"/>
        <v>#VALUE!</v>
      </c>
      <c r="I150" s="69" t="str">
        <f>IFERROR(IF((H150+I149)*(1+('Mortgage Calculator'!$S$12/12))&gt;R150,"stop",(H150+I149)*(1+('Mortgage Calculator'!$S$12/12))),"")</f>
        <v/>
      </c>
      <c r="M150" s="83" t="str">
        <f t="shared" si="15"/>
        <v/>
      </c>
      <c r="N150" s="83"/>
      <c r="O150" s="105" t="str">
        <f>IFERROR(M150/M150*'Mortgage Calculator'!$U$28,"")</f>
        <v/>
      </c>
      <c r="P150" s="105" t="str">
        <f>IFERROR(M150/M150*R149*'Mortgage Calculator'!$C$13/12,"")</f>
        <v/>
      </c>
      <c r="Q150" s="105" t="str">
        <f t="shared" si="16"/>
        <v/>
      </c>
      <c r="R150" s="105" t="str">
        <f t="shared" si="17"/>
        <v/>
      </c>
    </row>
    <row r="151" spans="3:18" x14ac:dyDescent="0.3">
      <c r="C151" s="1" t="e">
        <f t="shared" si="13"/>
        <v>#VALUE!</v>
      </c>
      <c r="D151" s="1" t="str">
        <f t="shared" si="12"/>
        <v/>
      </c>
      <c r="F151" s="52" t="e">
        <f>'Mortgage Calculator'!$G$9*((1+'Mortgage Calculator'!$P$8)^(MISC!C151-1))</f>
        <v>#VALUE!</v>
      </c>
      <c r="G151" s="70" t="e">
        <f>'Mortgage Calculator'!$U$25*((1+'Mortgage Calculator'!$S$10)^(MISC!C151-1))</f>
        <v>#VALUE!</v>
      </c>
      <c r="H151" s="52" t="e">
        <f t="shared" si="14"/>
        <v>#VALUE!</v>
      </c>
      <c r="I151" s="69" t="str">
        <f>IFERROR(IF((H151+I150)*(1+('Mortgage Calculator'!$S$12/12))&gt;R151,"stop",(H151+I150)*(1+('Mortgage Calculator'!$S$12/12))),"")</f>
        <v/>
      </c>
      <c r="M151" s="83" t="str">
        <f t="shared" si="15"/>
        <v/>
      </c>
      <c r="N151" s="83"/>
      <c r="O151" s="105" t="str">
        <f>IFERROR(M151/M151*'Mortgage Calculator'!$U$28,"")</f>
        <v/>
      </c>
      <c r="P151" s="105" t="str">
        <f>IFERROR(M151/M151*R150*'Mortgage Calculator'!$C$13/12,"")</f>
        <v/>
      </c>
      <c r="Q151" s="105" t="str">
        <f t="shared" si="16"/>
        <v/>
      </c>
      <c r="R151" s="105" t="str">
        <f t="shared" si="17"/>
        <v/>
      </c>
    </row>
    <row r="152" spans="3:18" x14ac:dyDescent="0.3">
      <c r="C152" s="1" t="e">
        <f t="shared" si="13"/>
        <v>#VALUE!</v>
      </c>
      <c r="D152" s="1" t="str">
        <f t="shared" si="12"/>
        <v/>
      </c>
      <c r="F152" s="52" t="e">
        <f>'Mortgage Calculator'!$G$9*((1+'Mortgage Calculator'!$P$8)^(MISC!C152-1))</f>
        <v>#VALUE!</v>
      </c>
      <c r="G152" s="70" t="e">
        <f>'Mortgage Calculator'!$U$25*((1+'Mortgage Calculator'!$S$10)^(MISC!C152-1))</f>
        <v>#VALUE!</v>
      </c>
      <c r="H152" s="52" t="e">
        <f t="shared" si="14"/>
        <v>#VALUE!</v>
      </c>
      <c r="I152" s="69" t="str">
        <f>IFERROR(IF((H152+I151)*(1+('Mortgage Calculator'!$S$12/12))&gt;R152,"stop",(H152+I151)*(1+('Mortgage Calculator'!$S$12/12))),"")</f>
        <v/>
      </c>
      <c r="M152" s="83" t="str">
        <f t="shared" si="15"/>
        <v/>
      </c>
      <c r="N152" s="83"/>
      <c r="O152" s="105" t="str">
        <f>IFERROR(M152/M152*'Mortgage Calculator'!$U$28,"")</f>
        <v/>
      </c>
      <c r="P152" s="105" t="str">
        <f>IFERROR(M152/M152*R151*'Mortgage Calculator'!$C$13/12,"")</f>
        <v/>
      </c>
      <c r="Q152" s="105" t="str">
        <f t="shared" si="16"/>
        <v/>
      </c>
      <c r="R152" s="105" t="str">
        <f t="shared" si="17"/>
        <v/>
      </c>
    </row>
    <row r="153" spans="3:18" x14ac:dyDescent="0.3">
      <c r="C153" s="1" t="e">
        <f t="shared" si="13"/>
        <v>#VALUE!</v>
      </c>
      <c r="D153" s="1" t="str">
        <f t="shared" si="12"/>
        <v/>
      </c>
      <c r="F153" s="52" t="e">
        <f>'Mortgage Calculator'!$G$9*((1+'Mortgage Calculator'!$P$8)^(MISC!C153-1))</f>
        <v>#VALUE!</v>
      </c>
      <c r="G153" s="70" t="e">
        <f>'Mortgage Calculator'!$U$25*((1+'Mortgage Calculator'!$S$10)^(MISC!C153-1))</f>
        <v>#VALUE!</v>
      </c>
      <c r="H153" s="52" t="e">
        <f t="shared" si="14"/>
        <v>#VALUE!</v>
      </c>
      <c r="I153" s="69" t="str">
        <f>IFERROR(IF((H153+I152)*(1+('Mortgage Calculator'!$S$12/12))&gt;R153,"stop",(H153+I152)*(1+('Mortgage Calculator'!$S$12/12))),"")</f>
        <v/>
      </c>
      <c r="M153" s="83" t="str">
        <f t="shared" si="15"/>
        <v/>
      </c>
      <c r="N153" s="83"/>
      <c r="O153" s="105" t="str">
        <f>IFERROR(M153/M153*'Mortgage Calculator'!$U$28,"")</f>
        <v/>
      </c>
      <c r="P153" s="105" t="str">
        <f>IFERROR(M153/M153*R152*'Mortgage Calculator'!$C$13/12,"")</f>
        <v/>
      </c>
      <c r="Q153" s="105" t="str">
        <f t="shared" si="16"/>
        <v/>
      </c>
      <c r="R153" s="105" t="str">
        <f t="shared" si="17"/>
        <v/>
      </c>
    </row>
    <row r="154" spans="3:18" x14ac:dyDescent="0.3">
      <c r="C154" s="1" t="e">
        <f t="shared" si="13"/>
        <v>#VALUE!</v>
      </c>
      <c r="D154" s="1" t="str">
        <f t="shared" si="12"/>
        <v/>
      </c>
      <c r="F154" s="52" t="e">
        <f>'Mortgage Calculator'!$G$9*((1+'Mortgage Calculator'!$P$8)^(MISC!C154-1))</f>
        <v>#VALUE!</v>
      </c>
      <c r="G154" s="70" t="e">
        <f>'Mortgage Calculator'!$U$25*((1+'Mortgage Calculator'!$S$10)^(MISC!C154-1))</f>
        <v>#VALUE!</v>
      </c>
      <c r="H154" s="52" t="e">
        <f t="shared" si="14"/>
        <v>#VALUE!</v>
      </c>
      <c r="I154" s="69" t="str">
        <f>IFERROR(IF((H154+I153)*(1+('Mortgage Calculator'!$S$12/12))&gt;R154,"stop",(H154+I153)*(1+('Mortgage Calculator'!$S$12/12))),"")</f>
        <v/>
      </c>
      <c r="M154" s="83" t="str">
        <f t="shared" si="15"/>
        <v/>
      </c>
      <c r="N154" s="83"/>
      <c r="O154" s="105" t="str">
        <f>IFERROR(M154/M154*'Mortgage Calculator'!$U$28,"")</f>
        <v/>
      </c>
      <c r="P154" s="105" t="str">
        <f>IFERROR(M154/M154*R153*'Mortgage Calculator'!$C$13/12,"")</f>
        <v/>
      </c>
      <c r="Q154" s="105" t="str">
        <f t="shared" si="16"/>
        <v/>
      </c>
      <c r="R154" s="105" t="str">
        <f t="shared" si="17"/>
        <v/>
      </c>
    </row>
    <row r="155" spans="3:18" x14ac:dyDescent="0.3">
      <c r="C155" s="1" t="e">
        <f t="shared" si="13"/>
        <v>#VALUE!</v>
      </c>
      <c r="D155" s="1" t="str">
        <f t="shared" si="12"/>
        <v/>
      </c>
      <c r="F155" s="52" t="e">
        <f>'Mortgage Calculator'!$G$9*((1+'Mortgage Calculator'!$P$8)^(MISC!C155-1))</f>
        <v>#VALUE!</v>
      </c>
      <c r="G155" s="70" t="e">
        <f>'Mortgage Calculator'!$U$25*((1+'Mortgage Calculator'!$S$10)^(MISC!C155-1))</f>
        <v>#VALUE!</v>
      </c>
      <c r="H155" s="52" t="e">
        <f t="shared" si="14"/>
        <v>#VALUE!</v>
      </c>
      <c r="I155" s="69" t="str">
        <f>IFERROR(IF((H155+I154)*(1+('Mortgage Calculator'!$S$12/12))&gt;R155,"stop",(H155+I154)*(1+('Mortgage Calculator'!$S$12/12))),"")</f>
        <v/>
      </c>
      <c r="M155" s="83" t="str">
        <f t="shared" si="15"/>
        <v/>
      </c>
      <c r="N155" s="83"/>
      <c r="O155" s="105" t="str">
        <f>IFERROR(M155/M155*'Mortgage Calculator'!$U$28,"")</f>
        <v/>
      </c>
      <c r="P155" s="105" t="str">
        <f>IFERROR(M155/M155*R154*'Mortgage Calculator'!$C$13/12,"")</f>
        <v/>
      </c>
      <c r="Q155" s="105" t="str">
        <f t="shared" si="16"/>
        <v/>
      </c>
      <c r="R155" s="105" t="str">
        <f t="shared" si="17"/>
        <v/>
      </c>
    </row>
    <row r="156" spans="3:18" x14ac:dyDescent="0.3">
      <c r="C156" s="1" t="e">
        <f t="shared" si="13"/>
        <v>#VALUE!</v>
      </c>
      <c r="D156" s="1" t="str">
        <f t="shared" si="12"/>
        <v/>
      </c>
      <c r="F156" s="52" t="e">
        <f>'Mortgage Calculator'!$G$9*((1+'Mortgage Calculator'!$P$8)^(MISC!C156-1))</f>
        <v>#VALUE!</v>
      </c>
      <c r="G156" s="70" t="e">
        <f>'Mortgage Calculator'!$U$25*((1+'Mortgage Calculator'!$S$10)^(MISC!C156-1))</f>
        <v>#VALUE!</v>
      </c>
      <c r="H156" s="52" t="e">
        <f t="shared" si="14"/>
        <v>#VALUE!</v>
      </c>
      <c r="I156" s="69" t="str">
        <f>IFERROR(IF((H156+I155)*(1+('Mortgage Calculator'!$S$12/12))&gt;R156,"stop",(H156+I155)*(1+('Mortgage Calculator'!$S$12/12))),"")</f>
        <v/>
      </c>
      <c r="M156" s="83" t="str">
        <f t="shared" si="15"/>
        <v/>
      </c>
      <c r="N156" s="83"/>
      <c r="O156" s="105" t="str">
        <f>IFERROR(M156/M156*'Mortgage Calculator'!$U$28,"")</f>
        <v/>
      </c>
      <c r="P156" s="105" t="str">
        <f>IFERROR(M156/M156*R155*'Mortgage Calculator'!$C$13/12,"")</f>
        <v/>
      </c>
      <c r="Q156" s="105" t="str">
        <f t="shared" si="16"/>
        <v/>
      </c>
      <c r="R156" s="105" t="str">
        <f t="shared" si="17"/>
        <v/>
      </c>
    </row>
    <row r="157" spans="3:18" x14ac:dyDescent="0.3">
      <c r="C157" s="1" t="e">
        <f t="shared" si="13"/>
        <v>#VALUE!</v>
      </c>
      <c r="D157" s="1" t="str">
        <f t="shared" si="12"/>
        <v/>
      </c>
      <c r="F157" s="52" t="e">
        <f>'Mortgage Calculator'!$G$9*((1+'Mortgage Calculator'!$P$8)^(MISC!C157-1))</f>
        <v>#VALUE!</v>
      </c>
      <c r="G157" s="70" t="e">
        <f>'Mortgage Calculator'!$U$25*((1+'Mortgage Calculator'!$S$10)^(MISC!C157-1))</f>
        <v>#VALUE!</v>
      </c>
      <c r="H157" s="52" t="e">
        <f t="shared" si="14"/>
        <v>#VALUE!</v>
      </c>
      <c r="I157" s="69" t="str">
        <f>IFERROR(IF((H157+I156)*(1+('Mortgage Calculator'!$S$12/12))&gt;R157,"stop",(H157+I156)*(1+('Mortgage Calculator'!$S$12/12))),"")</f>
        <v/>
      </c>
      <c r="M157" s="83" t="str">
        <f t="shared" si="15"/>
        <v/>
      </c>
      <c r="N157" s="83"/>
      <c r="O157" s="105" t="str">
        <f>IFERROR(M157/M157*'Mortgage Calculator'!$U$28,"")</f>
        <v/>
      </c>
      <c r="P157" s="105" t="str">
        <f>IFERROR(M157/M157*R156*'Mortgage Calculator'!$C$13/12,"")</f>
        <v/>
      </c>
      <c r="Q157" s="105" t="str">
        <f t="shared" si="16"/>
        <v/>
      </c>
      <c r="R157" s="105" t="str">
        <f t="shared" si="17"/>
        <v/>
      </c>
    </row>
    <row r="158" spans="3:18" x14ac:dyDescent="0.3">
      <c r="C158" s="1" t="e">
        <f t="shared" si="13"/>
        <v>#VALUE!</v>
      </c>
      <c r="D158" s="1" t="str">
        <f t="shared" si="12"/>
        <v/>
      </c>
      <c r="F158" s="52" t="e">
        <f>'Mortgage Calculator'!$G$9*((1+'Mortgage Calculator'!$P$8)^(MISC!C158-1))</f>
        <v>#VALUE!</v>
      </c>
      <c r="G158" s="70" t="e">
        <f>'Mortgage Calculator'!$U$25*((1+'Mortgage Calculator'!$S$10)^(MISC!C158-1))</f>
        <v>#VALUE!</v>
      </c>
      <c r="H158" s="52" t="e">
        <f t="shared" si="14"/>
        <v>#VALUE!</v>
      </c>
      <c r="I158" s="69" t="str">
        <f>IFERROR(IF((H158+I157)*(1+('Mortgage Calculator'!$S$12/12))&gt;R158,"stop",(H158+I157)*(1+('Mortgage Calculator'!$S$12/12))),"")</f>
        <v/>
      </c>
      <c r="M158" s="83" t="str">
        <f t="shared" si="15"/>
        <v/>
      </c>
      <c r="N158" s="83"/>
      <c r="O158" s="105" t="str">
        <f>IFERROR(M158/M158*'Mortgage Calculator'!$U$28,"")</f>
        <v/>
      </c>
      <c r="P158" s="105" t="str">
        <f>IFERROR(M158/M158*R157*'Mortgage Calculator'!$C$13/12,"")</f>
        <v/>
      </c>
      <c r="Q158" s="105" t="str">
        <f t="shared" si="16"/>
        <v/>
      </c>
      <c r="R158" s="105" t="str">
        <f t="shared" si="17"/>
        <v/>
      </c>
    </row>
    <row r="159" spans="3:18" x14ac:dyDescent="0.3">
      <c r="C159" s="1" t="e">
        <f t="shared" si="13"/>
        <v>#VALUE!</v>
      </c>
      <c r="D159" s="1" t="str">
        <f t="shared" si="12"/>
        <v/>
      </c>
      <c r="F159" s="52" t="e">
        <f>'Mortgage Calculator'!$G$9*((1+'Mortgage Calculator'!$P$8)^(MISC!C159-1))</f>
        <v>#VALUE!</v>
      </c>
      <c r="G159" s="70" t="e">
        <f>'Mortgage Calculator'!$U$25*((1+'Mortgage Calculator'!$S$10)^(MISC!C159-1))</f>
        <v>#VALUE!</v>
      </c>
      <c r="H159" s="52" t="e">
        <f t="shared" si="14"/>
        <v>#VALUE!</v>
      </c>
      <c r="I159" s="69" t="str">
        <f>IFERROR(IF((H159+I158)*(1+('Mortgage Calculator'!$S$12/12))&gt;R159,"stop",(H159+I158)*(1+('Mortgage Calculator'!$S$12/12))),"")</f>
        <v/>
      </c>
      <c r="M159" s="83" t="str">
        <f t="shared" si="15"/>
        <v/>
      </c>
      <c r="N159" s="83"/>
      <c r="O159" s="105" t="str">
        <f>IFERROR(M159/M159*'Mortgage Calculator'!$U$28,"")</f>
        <v/>
      </c>
      <c r="P159" s="105" t="str">
        <f>IFERROR(M159/M159*R158*'Mortgage Calculator'!$C$13/12,"")</f>
        <v/>
      </c>
      <c r="Q159" s="105" t="str">
        <f t="shared" si="16"/>
        <v/>
      </c>
      <c r="R159" s="105" t="str">
        <f t="shared" si="17"/>
        <v/>
      </c>
    </row>
    <row r="160" spans="3:18" x14ac:dyDescent="0.3">
      <c r="C160" s="1" t="e">
        <f t="shared" si="13"/>
        <v>#VALUE!</v>
      </c>
      <c r="D160" s="1" t="str">
        <f t="shared" si="12"/>
        <v/>
      </c>
      <c r="F160" s="52" t="e">
        <f>'Mortgage Calculator'!$G$9*((1+'Mortgage Calculator'!$P$8)^(MISC!C160-1))</f>
        <v>#VALUE!</v>
      </c>
      <c r="G160" s="70" t="e">
        <f>'Mortgage Calculator'!$U$25*((1+'Mortgage Calculator'!$S$10)^(MISC!C160-1))</f>
        <v>#VALUE!</v>
      </c>
      <c r="H160" s="52" t="e">
        <f t="shared" si="14"/>
        <v>#VALUE!</v>
      </c>
      <c r="I160" s="69" t="str">
        <f>IFERROR(IF((H160+I159)*(1+('Mortgage Calculator'!$S$12/12))&gt;R160,"stop",(H160+I159)*(1+('Mortgage Calculator'!$S$12/12))),"")</f>
        <v/>
      </c>
      <c r="M160" s="83" t="str">
        <f t="shared" si="15"/>
        <v/>
      </c>
      <c r="N160" s="83"/>
      <c r="O160" s="105" t="str">
        <f>IFERROR(M160/M160*'Mortgage Calculator'!$U$28,"")</f>
        <v/>
      </c>
      <c r="P160" s="105" t="str">
        <f>IFERROR(M160/M160*R159*'Mortgage Calculator'!$C$13/12,"")</f>
        <v/>
      </c>
      <c r="Q160" s="105" t="str">
        <f t="shared" si="16"/>
        <v/>
      </c>
      <c r="R160" s="105" t="str">
        <f t="shared" si="17"/>
        <v/>
      </c>
    </row>
    <row r="161" spans="3:18" x14ac:dyDescent="0.3">
      <c r="C161" s="1" t="e">
        <f t="shared" si="13"/>
        <v>#VALUE!</v>
      </c>
      <c r="D161" s="1" t="str">
        <f t="shared" si="12"/>
        <v/>
      </c>
      <c r="F161" s="52" t="e">
        <f>'Mortgage Calculator'!$G$9*((1+'Mortgage Calculator'!$P$8)^(MISC!C161-1))</f>
        <v>#VALUE!</v>
      </c>
      <c r="G161" s="70" t="e">
        <f>'Mortgage Calculator'!$U$25*((1+'Mortgage Calculator'!$S$10)^(MISC!C161-1))</f>
        <v>#VALUE!</v>
      </c>
      <c r="H161" s="52" t="e">
        <f t="shared" si="14"/>
        <v>#VALUE!</v>
      </c>
      <c r="I161" s="69" t="str">
        <f>IFERROR(IF((H161+I160)*(1+('Mortgage Calculator'!$S$12/12))&gt;R161,"stop",(H161+I160)*(1+('Mortgage Calculator'!$S$12/12))),"")</f>
        <v/>
      </c>
      <c r="M161" s="83" t="str">
        <f t="shared" si="15"/>
        <v/>
      </c>
      <c r="N161" s="83"/>
      <c r="O161" s="105" t="str">
        <f>IFERROR(M161/M161*'Mortgage Calculator'!$U$28,"")</f>
        <v/>
      </c>
      <c r="P161" s="105" t="str">
        <f>IFERROR(M161/M161*R160*'Mortgage Calculator'!$C$13/12,"")</f>
        <v/>
      </c>
      <c r="Q161" s="105" t="str">
        <f t="shared" si="16"/>
        <v/>
      </c>
      <c r="R161" s="105" t="str">
        <f t="shared" si="17"/>
        <v/>
      </c>
    </row>
    <row r="162" spans="3:18" x14ac:dyDescent="0.3">
      <c r="C162" s="1" t="e">
        <f t="shared" si="13"/>
        <v>#VALUE!</v>
      </c>
      <c r="D162" s="1" t="str">
        <f t="shared" si="12"/>
        <v/>
      </c>
      <c r="F162" s="52" t="e">
        <f>'Mortgage Calculator'!$G$9*((1+'Mortgage Calculator'!$P$8)^(MISC!C162-1))</f>
        <v>#VALUE!</v>
      </c>
      <c r="G162" s="70" t="e">
        <f>'Mortgage Calculator'!$U$25*((1+'Mortgage Calculator'!$S$10)^(MISC!C162-1))</f>
        <v>#VALUE!</v>
      </c>
      <c r="H162" s="52" t="e">
        <f t="shared" si="14"/>
        <v>#VALUE!</v>
      </c>
      <c r="I162" s="69" t="str">
        <f>IFERROR(IF((H162+I161)*(1+('Mortgage Calculator'!$S$12/12))&gt;R162,"stop",(H162+I161)*(1+('Mortgage Calculator'!$S$12/12))),"")</f>
        <v/>
      </c>
      <c r="M162" s="83" t="str">
        <f t="shared" si="15"/>
        <v/>
      </c>
      <c r="N162" s="83"/>
      <c r="O162" s="105" t="str">
        <f>IFERROR(M162/M162*'Mortgage Calculator'!$U$28,"")</f>
        <v/>
      </c>
      <c r="P162" s="105" t="str">
        <f>IFERROR(M162/M162*R161*'Mortgage Calculator'!$C$13/12,"")</f>
        <v/>
      </c>
      <c r="Q162" s="105" t="str">
        <f t="shared" si="16"/>
        <v/>
      </c>
      <c r="R162" s="105" t="str">
        <f t="shared" si="17"/>
        <v/>
      </c>
    </row>
    <row r="163" spans="3:18" x14ac:dyDescent="0.3">
      <c r="C163" s="1" t="e">
        <f t="shared" si="13"/>
        <v>#VALUE!</v>
      </c>
      <c r="D163" s="1" t="str">
        <f t="shared" si="12"/>
        <v/>
      </c>
      <c r="F163" s="52" t="e">
        <f>'Mortgage Calculator'!$G$9*((1+'Mortgage Calculator'!$P$8)^(MISC!C163-1))</f>
        <v>#VALUE!</v>
      </c>
      <c r="G163" s="70" t="e">
        <f>'Mortgage Calculator'!$U$25*((1+'Mortgage Calculator'!$S$10)^(MISC!C163-1))</f>
        <v>#VALUE!</v>
      </c>
      <c r="H163" s="52" t="e">
        <f t="shared" si="14"/>
        <v>#VALUE!</v>
      </c>
      <c r="I163" s="69" t="str">
        <f>IFERROR(IF((H163+I162)*(1+('Mortgage Calculator'!$S$12/12))&gt;R163,"stop",(H163+I162)*(1+('Mortgage Calculator'!$S$12/12))),"")</f>
        <v/>
      </c>
      <c r="M163" s="83" t="str">
        <f t="shared" si="15"/>
        <v/>
      </c>
      <c r="N163" s="83"/>
      <c r="O163" s="105" t="str">
        <f>IFERROR(M163/M163*'Mortgage Calculator'!$U$28,"")</f>
        <v/>
      </c>
      <c r="P163" s="105" t="str">
        <f>IFERROR(M163/M163*R162*'Mortgage Calculator'!$C$13/12,"")</f>
        <v/>
      </c>
      <c r="Q163" s="105" t="str">
        <f t="shared" si="16"/>
        <v/>
      </c>
      <c r="R163" s="105" t="str">
        <f t="shared" si="17"/>
        <v/>
      </c>
    </row>
    <row r="164" spans="3:18" x14ac:dyDescent="0.3">
      <c r="C164" s="1" t="e">
        <f t="shared" si="13"/>
        <v>#VALUE!</v>
      </c>
      <c r="D164" s="1" t="str">
        <f t="shared" si="12"/>
        <v/>
      </c>
      <c r="F164" s="52" t="e">
        <f>'Mortgage Calculator'!$G$9*((1+'Mortgage Calculator'!$P$8)^(MISC!C164-1))</f>
        <v>#VALUE!</v>
      </c>
      <c r="G164" s="70" t="e">
        <f>'Mortgage Calculator'!$U$25*((1+'Mortgage Calculator'!$S$10)^(MISC!C164-1))</f>
        <v>#VALUE!</v>
      </c>
      <c r="H164" s="52" t="e">
        <f t="shared" si="14"/>
        <v>#VALUE!</v>
      </c>
      <c r="I164" s="69" t="str">
        <f>IFERROR(IF((H164+I163)*(1+('Mortgage Calculator'!$S$12/12))&gt;R164,"stop",(H164+I163)*(1+('Mortgage Calculator'!$S$12/12))),"")</f>
        <v/>
      </c>
      <c r="M164" s="83" t="str">
        <f t="shared" si="15"/>
        <v/>
      </c>
      <c r="N164" s="83"/>
      <c r="O164" s="105" t="str">
        <f>IFERROR(M164/M164*'Mortgage Calculator'!$U$28,"")</f>
        <v/>
      </c>
      <c r="P164" s="105" t="str">
        <f>IFERROR(M164/M164*R163*'Mortgage Calculator'!$C$13/12,"")</f>
        <v/>
      </c>
      <c r="Q164" s="105" t="str">
        <f t="shared" si="16"/>
        <v/>
      </c>
      <c r="R164" s="105" t="str">
        <f t="shared" si="17"/>
        <v/>
      </c>
    </row>
    <row r="165" spans="3:18" x14ac:dyDescent="0.3">
      <c r="C165" s="1" t="e">
        <f t="shared" si="13"/>
        <v>#VALUE!</v>
      </c>
      <c r="D165" s="1" t="str">
        <f t="shared" si="12"/>
        <v/>
      </c>
      <c r="F165" s="52" t="e">
        <f>'Mortgage Calculator'!$G$9*((1+'Mortgage Calculator'!$P$8)^(MISC!C165-1))</f>
        <v>#VALUE!</v>
      </c>
      <c r="G165" s="70" t="e">
        <f>'Mortgage Calculator'!$U$25*((1+'Mortgage Calculator'!$S$10)^(MISC!C165-1))</f>
        <v>#VALUE!</v>
      </c>
      <c r="H165" s="52" t="e">
        <f t="shared" si="14"/>
        <v>#VALUE!</v>
      </c>
      <c r="I165" s="69" t="str">
        <f>IFERROR(IF((H165+I164)*(1+('Mortgage Calculator'!$S$12/12))&gt;R165,"stop",(H165+I164)*(1+('Mortgage Calculator'!$S$12/12))),"")</f>
        <v/>
      </c>
      <c r="M165" s="83" t="str">
        <f t="shared" si="15"/>
        <v/>
      </c>
      <c r="N165" s="83"/>
      <c r="O165" s="105" t="str">
        <f>IFERROR(M165/M165*'Mortgage Calculator'!$U$28,"")</f>
        <v/>
      </c>
      <c r="P165" s="105" t="str">
        <f>IFERROR(M165/M165*R164*'Mortgage Calculator'!$C$13/12,"")</f>
        <v/>
      </c>
      <c r="Q165" s="105" t="str">
        <f t="shared" si="16"/>
        <v/>
      </c>
      <c r="R165" s="105" t="str">
        <f t="shared" si="17"/>
        <v/>
      </c>
    </row>
    <row r="166" spans="3:18" x14ac:dyDescent="0.3">
      <c r="C166" s="1" t="e">
        <f t="shared" si="13"/>
        <v>#VALUE!</v>
      </c>
      <c r="D166" s="1" t="str">
        <f t="shared" si="12"/>
        <v/>
      </c>
      <c r="F166" s="52" t="e">
        <f>'Mortgage Calculator'!$G$9*((1+'Mortgage Calculator'!$P$8)^(MISC!C166-1))</f>
        <v>#VALUE!</v>
      </c>
      <c r="G166" s="70" t="e">
        <f>'Mortgage Calculator'!$U$25*((1+'Mortgage Calculator'!$S$10)^(MISC!C166-1))</f>
        <v>#VALUE!</v>
      </c>
      <c r="H166" s="52" t="e">
        <f t="shared" si="14"/>
        <v>#VALUE!</v>
      </c>
      <c r="I166" s="69" t="str">
        <f>IFERROR(IF((H166+I165)*(1+('Mortgage Calculator'!$S$12/12))&gt;R166,"stop",(H166+I165)*(1+('Mortgage Calculator'!$S$12/12))),"")</f>
        <v/>
      </c>
      <c r="M166" s="83" t="str">
        <f t="shared" si="15"/>
        <v/>
      </c>
      <c r="N166" s="83"/>
      <c r="O166" s="105" t="str">
        <f>IFERROR(M166/M166*'Mortgage Calculator'!$U$28,"")</f>
        <v/>
      </c>
      <c r="P166" s="105" t="str">
        <f>IFERROR(M166/M166*R165*'Mortgage Calculator'!$C$13/12,"")</f>
        <v/>
      </c>
      <c r="Q166" s="105" t="str">
        <f t="shared" si="16"/>
        <v/>
      </c>
      <c r="R166" s="105" t="str">
        <f t="shared" si="17"/>
        <v/>
      </c>
    </row>
    <row r="167" spans="3:18" x14ac:dyDescent="0.3">
      <c r="C167" s="1" t="e">
        <f t="shared" si="13"/>
        <v>#VALUE!</v>
      </c>
      <c r="D167" s="1" t="str">
        <f t="shared" si="12"/>
        <v/>
      </c>
      <c r="F167" s="52" t="e">
        <f>'Mortgage Calculator'!$G$9*((1+'Mortgage Calculator'!$P$8)^(MISC!C167-1))</f>
        <v>#VALUE!</v>
      </c>
      <c r="G167" s="70" t="e">
        <f>'Mortgage Calculator'!$U$25*((1+'Mortgage Calculator'!$S$10)^(MISC!C167-1))</f>
        <v>#VALUE!</v>
      </c>
      <c r="H167" s="52" t="e">
        <f t="shared" si="14"/>
        <v>#VALUE!</v>
      </c>
      <c r="I167" s="69" t="str">
        <f>IFERROR(IF((H167+I166)*(1+('Mortgage Calculator'!$S$12/12))&gt;R167,"stop",(H167+I166)*(1+('Mortgage Calculator'!$S$12/12))),"")</f>
        <v/>
      </c>
      <c r="M167" s="83" t="str">
        <f t="shared" si="15"/>
        <v/>
      </c>
      <c r="N167" s="83"/>
      <c r="O167" s="105" t="str">
        <f>IFERROR(M167/M167*'Mortgage Calculator'!$U$28,"")</f>
        <v/>
      </c>
      <c r="P167" s="105" t="str">
        <f>IFERROR(M167/M167*R166*'Mortgage Calculator'!$C$13/12,"")</f>
        <v/>
      </c>
      <c r="Q167" s="105" t="str">
        <f t="shared" si="16"/>
        <v/>
      </c>
      <c r="R167" s="105" t="str">
        <f t="shared" si="17"/>
        <v/>
      </c>
    </row>
    <row r="168" spans="3:18" x14ac:dyDescent="0.3">
      <c r="C168" s="1" t="e">
        <f t="shared" si="13"/>
        <v>#VALUE!</v>
      </c>
      <c r="D168" s="1" t="str">
        <f t="shared" si="12"/>
        <v/>
      </c>
      <c r="F168" s="52" t="e">
        <f>'Mortgage Calculator'!$G$9*((1+'Mortgage Calculator'!$P$8)^(MISC!C168-1))</f>
        <v>#VALUE!</v>
      </c>
      <c r="G168" s="70" t="e">
        <f>'Mortgage Calculator'!$U$25*((1+'Mortgage Calculator'!$S$10)^(MISC!C168-1))</f>
        <v>#VALUE!</v>
      </c>
      <c r="H168" s="52" t="e">
        <f t="shared" si="14"/>
        <v>#VALUE!</v>
      </c>
      <c r="I168" s="69" t="str">
        <f>IFERROR(IF((H168+I167)*(1+('Mortgage Calculator'!$S$12/12))&gt;R168,"stop",(H168+I167)*(1+('Mortgage Calculator'!$S$12/12))),"")</f>
        <v/>
      </c>
      <c r="M168" s="83" t="str">
        <f t="shared" si="15"/>
        <v/>
      </c>
      <c r="N168" s="83"/>
      <c r="O168" s="105" t="str">
        <f>IFERROR(M168/M168*'Mortgage Calculator'!$U$28,"")</f>
        <v/>
      </c>
      <c r="P168" s="105" t="str">
        <f>IFERROR(M168/M168*R167*'Mortgage Calculator'!$C$13/12,"")</f>
        <v/>
      </c>
      <c r="Q168" s="105" t="str">
        <f t="shared" si="16"/>
        <v/>
      </c>
      <c r="R168" s="105" t="str">
        <f t="shared" si="17"/>
        <v/>
      </c>
    </row>
    <row r="169" spans="3:18" x14ac:dyDescent="0.3">
      <c r="C169" s="1" t="e">
        <f t="shared" si="13"/>
        <v>#VALUE!</v>
      </c>
      <c r="D169" s="1" t="str">
        <f t="shared" si="12"/>
        <v/>
      </c>
      <c r="F169" s="52" t="e">
        <f>'Mortgage Calculator'!$G$9*((1+'Mortgage Calculator'!$P$8)^(MISC!C169-1))</f>
        <v>#VALUE!</v>
      </c>
      <c r="G169" s="70" t="e">
        <f>'Mortgage Calculator'!$U$25*((1+'Mortgage Calculator'!$S$10)^(MISC!C169-1))</f>
        <v>#VALUE!</v>
      </c>
      <c r="H169" s="52" t="e">
        <f t="shared" si="14"/>
        <v>#VALUE!</v>
      </c>
      <c r="I169" s="69" t="str">
        <f>IFERROR(IF((H169+I168)*(1+('Mortgage Calculator'!$S$12/12))&gt;R169,"stop",(H169+I168)*(1+('Mortgage Calculator'!$S$12/12))),"")</f>
        <v/>
      </c>
      <c r="M169" s="83" t="str">
        <f t="shared" si="15"/>
        <v/>
      </c>
      <c r="N169" s="83"/>
      <c r="O169" s="105" t="str">
        <f>IFERROR(M169/M169*'Mortgage Calculator'!$U$28,"")</f>
        <v/>
      </c>
      <c r="P169" s="105" t="str">
        <f>IFERROR(M169/M169*R168*'Mortgage Calculator'!$C$13/12,"")</f>
        <v/>
      </c>
      <c r="Q169" s="105" t="str">
        <f t="shared" si="16"/>
        <v/>
      </c>
      <c r="R169" s="105" t="str">
        <f t="shared" si="17"/>
        <v/>
      </c>
    </row>
    <row r="170" spans="3:18" x14ac:dyDescent="0.3">
      <c r="C170" s="1" t="e">
        <f t="shared" si="13"/>
        <v>#VALUE!</v>
      </c>
      <c r="D170" s="1" t="str">
        <f t="shared" si="12"/>
        <v/>
      </c>
      <c r="F170" s="52" t="e">
        <f>'Mortgage Calculator'!$G$9*((1+'Mortgage Calculator'!$P$8)^(MISC!C170-1))</f>
        <v>#VALUE!</v>
      </c>
      <c r="G170" s="70" t="e">
        <f>'Mortgage Calculator'!$U$25*((1+'Mortgage Calculator'!$S$10)^(MISC!C170-1))</f>
        <v>#VALUE!</v>
      </c>
      <c r="H170" s="52" t="e">
        <f t="shared" si="14"/>
        <v>#VALUE!</v>
      </c>
      <c r="I170" s="69" t="str">
        <f>IFERROR(IF((H170+I169)*(1+('Mortgage Calculator'!$S$12/12))&gt;R170,"stop",(H170+I169)*(1+('Mortgage Calculator'!$S$12/12))),"")</f>
        <v/>
      </c>
      <c r="M170" s="83" t="str">
        <f t="shared" si="15"/>
        <v/>
      </c>
      <c r="N170" s="83"/>
      <c r="O170" s="105" t="str">
        <f>IFERROR(M170/M170*'Mortgage Calculator'!$U$28,"")</f>
        <v/>
      </c>
      <c r="P170" s="105" t="str">
        <f>IFERROR(M170/M170*R169*'Mortgage Calculator'!$C$13/12,"")</f>
        <v/>
      </c>
      <c r="Q170" s="105" t="str">
        <f t="shared" si="16"/>
        <v/>
      </c>
      <c r="R170" s="105" t="str">
        <f t="shared" si="17"/>
        <v/>
      </c>
    </row>
    <row r="171" spans="3:18" x14ac:dyDescent="0.3">
      <c r="C171" s="1" t="e">
        <f t="shared" si="13"/>
        <v>#VALUE!</v>
      </c>
      <c r="D171" s="1" t="str">
        <f t="shared" si="12"/>
        <v/>
      </c>
      <c r="F171" s="52" t="e">
        <f>'Mortgage Calculator'!$G$9*((1+'Mortgage Calculator'!$P$8)^(MISC!C171-1))</f>
        <v>#VALUE!</v>
      </c>
      <c r="G171" s="70" t="e">
        <f>'Mortgage Calculator'!$U$25*((1+'Mortgage Calculator'!$S$10)^(MISC!C171-1))</f>
        <v>#VALUE!</v>
      </c>
      <c r="H171" s="52" t="e">
        <f t="shared" si="14"/>
        <v>#VALUE!</v>
      </c>
      <c r="I171" s="69" t="str">
        <f>IFERROR(IF((H171+I170)*(1+('Mortgage Calculator'!$S$12/12))&gt;R171,"stop",(H171+I170)*(1+('Mortgage Calculator'!$S$12/12))),"")</f>
        <v/>
      </c>
      <c r="M171" s="83" t="str">
        <f t="shared" si="15"/>
        <v/>
      </c>
      <c r="N171" s="83"/>
      <c r="O171" s="105" t="str">
        <f>IFERROR(M171/M171*'Mortgage Calculator'!$U$28,"")</f>
        <v/>
      </c>
      <c r="P171" s="105" t="str">
        <f>IFERROR(M171/M171*R170*'Mortgage Calculator'!$C$13/12,"")</f>
        <v/>
      </c>
      <c r="Q171" s="105" t="str">
        <f t="shared" si="16"/>
        <v/>
      </c>
      <c r="R171" s="105" t="str">
        <f t="shared" si="17"/>
        <v/>
      </c>
    </row>
    <row r="172" spans="3:18" x14ac:dyDescent="0.3">
      <c r="C172" s="1" t="e">
        <f t="shared" si="13"/>
        <v>#VALUE!</v>
      </c>
      <c r="D172" s="1" t="str">
        <f t="shared" si="12"/>
        <v/>
      </c>
      <c r="F172" s="52" t="e">
        <f>'Mortgage Calculator'!$G$9*((1+'Mortgage Calculator'!$P$8)^(MISC!C172-1))</f>
        <v>#VALUE!</v>
      </c>
      <c r="G172" s="70" t="e">
        <f>'Mortgage Calculator'!$U$25*((1+'Mortgage Calculator'!$S$10)^(MISC!C172-1))</f>
        <v>#VALUE!</v>
      </c>
      <c r="H172" s="52" t="e">
        <f t="shared" si="14"/>
        <v>#VALUE!</v>
      </c>
      <c r="I172" s="69" t="str">
        <f>IFERROR(IF((H172+I171)*(1+('Mortgage Calculator'!$S$12/12))&gt;R172,"stop",(H172+I171)*(1+('Mortgage Calculator'!$S$12/12))),"")</f>
        <v/>
      </c>
      <c r="M172" s="83" t="str">
        <f t="shared" si="15"/>
        <v/>
      </c>
      <c r="N172" s="83"/>
      <c r="O172" s="105" t="str">
        <f>IFERROR(M172/M172*'Mortgage Calculator'!$U$28,"")</f>
        <v/>
      </c>
      <c r="P172" s="105" t="str">
        <f>IFERROR(M172/M172*R171*'Mortgage Calculator'!$C$13/12,"")</f>
        <v/>
      </c>
      <c r="Q172" s="105" t="str">
        <f t="shared" si="16"/>
        <v/>
      </c>
      <c r="R172" s="105" t="str">
        <f t="shared" si="17"/>
        <v/>
      </c>
    </row>
    <row r="173" spans="3:18" x14ac:dyDescent="0.3">
      <c r="C173" s="1" t="e">
        <f t="shared" si="13"/>
        <v>#VALUE!</v>
      </c>
      <c r="D173" s="1" t="str">
        <f t="shared" si="12"/>
        <v/>
      </c>
      <c r="F173" s="52" t="e">
        <f>'Mortgage Calculator'!$G$9*((1+'Mortgage Calculator'!$P$8)^(MISC!C173-1))</f>
        <v>#VALUE!</v>
      </c>
      <c r="G173" s="70" t="e">
        <f>'Mortgage Calculator'!$U$25*((1+'Mortgage Calculator'!$S$10)^(MISC!C173-1))</f>
        <v>#VALUE!</v>
      </c>
      <c r="H173" s="52" t="e">
        <f t="shared" si="14"/>
        <v>#VALUE!</v>
      </c>
      <c r="I173" s="69" t="str">
        <f>IFERROR(IF((H173+I172)*(1+('Mortgage Calculator'!$S$12/12))&gt;R173,"stop",(H173+I172)*(1+('Mortgage Calculator'!$S$12/12))),"")</f>
        <v/>
      </c>
      <c r="M173" s="83" t="str">
        <f t="shared" si="15"/>
        <v/>
      </c>
      <c r="N173" s="83"/>
      <c r="O173" s="105" t="str">
        <f>IFERROR(M173/M173*'Mortgage Calculator'!$U$28,"")</f>
        <v/>
      </c>
      <c r="P173" s="105" t="str">
        <f>IFERROR(M173/M173*R172*'Mortgage Calculator'!$C$13/12,"")</f>
        <v/>
      </c>
      <c r="Q173" s="105" t="str">
        <f t="shared" si="16"/>
        <v/>
      </c>
      <c r="R173" s="105" t="str">
        <f t="shared" si="17"/>
        <v/>
      </c>
    </row>
    <row r="174" spans="3:18" x14ac:dyDescent="0.3">
      <c r="C174" s="1" t="e">
        <f t="shared" si="13"/>
        <v>#VALUE!</v>
      </c>
      <c r="D174" s="1" t="str">
        <f t="shared" si="12"/>
        <v/>
      </c>
      <c r="F174" s="52" t="e">
        <f>'Mortgage Calculator'!$G$9*((1+'Mortgage Calculator'!$P$8)^(MISC!C174-1))</f>
        <v>#VALUE!</v>
      </c>
      <c r="G174" s="70" t="e">
        <f>'Mortgage Calculator'!$U$25*((1+'Mortgage Calculator'!$S$10)^(MISC!C174-1))</f>
        <v>#VALUE!</v>
      </c>
      <c r="H174" s="52" t="e">
        <f t="shared" si="14"/>
        <v>#VALUE!</v>
      </c>
      <c r="I174" s="69" t="str">
        <f>IFERROR(IF((H174+I173)*(1+('Mortgage Calculator'!$S$12/12))&gt;R174,"stop",(H174+I173)*(1+('Mortgage Calculator'!$S$12/12))),"")</f>
        <v/>
      </c>
      <c r="M174" s="83" t="str">
        <f t="shared" si="15"/>
        <v/>
      </c>
      <c r="N174" s="83"/>
      <c r="O174" s="105" t="str">
        <f>IFERROR(M174/M174*'Mortgage Calculator'!$U$28,"")</f>
        <v/>
      </c>
      <c r="P174" s="105" t="str">
        <f>IFERROR(M174/M174*R173*'Mortgage Calculator'!$C$13/12,"")</f>
        <v/>
      </c>
      <c r="Q174" s="105" t="str">
        <f t="shared" si="16"/>
        <v/>
      </c>
      <c r="R174" s="105" t="str">
        <f t="shared" si="17"/>
        <v/>
      </c>
    </row>
    <row r="175" spans="3:18" x14ac:dyDescent="0.3">
      <c r="C175" s="1" t="e">
        <f t="shared" si="13"/>
        <v>#VALUE!</v>
      </c>
      <c r="D175" s="1" t="str">
        <f t="shared" si="12"/>
        <v/>
      </c>
      <c r="F175" s="52" t="e">
        <f>'Mortgage Calculator'!$G$9*((1+'Mortgage Calculator'!$P$8)^(MISC!C175-1))</f>
        <v>#VALUE!</v>
      </c>
      <c r="G175" s="70" t="e">
        <f>'Mortgage Calculator'!$U$25*((1+'Mortgage Calculator'!$S$10)^(MISC!C175-1))</f>
        <v>#VALUE!</v>
      </c>
      <c r="H175" s="52" t="e">
        <f t="shared" si="14"/>
        <v>#VALUE!</v>
      </c>
      <c r="I175" s="69" t="str">
        <f>IFERROR(IF((H175+I174)*(1+('Mortgage Calculator'!$S$12/12))&gt;R175,"stop",(H175+I174)*(1+('Mortgage Calculator'!$S$12/12))),"")</f>
        <v/>
      </c>
      <c r="M175" s="83" t="str">
        <f t="shared" si="15"/>
        <v/>
      </c>
      <c r="N175" s="83"/>
      <c r="O175" s="105" t="str">
        <f>IFERROR(M175/M175*'Mortgage Calculator'!$U$28,"")</f>
        <v/>
      </c>
      <c r="P175" s="105" t="str">
        <f>IFERROR(M175/M175*R174*'Mortgage Calculator'!$C$13/12,"")</f>
        <v/>
      </c>
      <c r="Q175" s="105" t="str">
        <f t="shared" si="16"/>
        <v/>
      </c>
      <c r="R175" s="105" t="str">
        <f t="shared" si="17"/>
        <v/>
      </c>
    </row>
    <row r="176" spans="3:18" x14ac:dyDescent="0.3">
      <c r="C176" s="1" t="e">
        <f t="shared" si="13"/>
        <v>#VALUE!</v>
      </c>
      <c r="D176" s="1" t="str">
        <f t="shared" si="12"/>
        <v/>
      </c>
      <c r="F176" s="52" t="e">
        <f>'Mortgage Calculator'!$G$9*((1+'Mortgage Calculator'!$P$8)^(MISC!C176-1))</f>
        <v>#VALUE!</v>
      </c>
      <c r="G176" s="70" t="e">
        <f>'Mortgage Calculator'!$U$25*((1+'Mortgage Calculator'!$S$10)^(MISC!C176-1))</f>
        <v>#VALUE!</v>
      </c>
      <c r="H176" s="52" t="e">
        <f t="shared" si="14"/>
        <v>#VALUE!</v>
      </c>
      <c r="I176" s="69" t="str">
        <f>IFERROR(IF((H176+I175)*(1+('Mortgage Calculator'!$S$12/12))&gt;R176,"stop",(H176+I175)*(1+('Mortgage Calculator'!$S$12/12))),"")</f>
        <v/>
      </c>
      <c r="M176" s="83" t="str">
        <f t="shared" si="15"/>
        <v/>
      </c>
      <c r="N176" s="83"/>
      <c r="O176" s="105" t="str">
        <f>IFERROR(M176/M176*'Mortgage Calculator'!$U$28,"")</f>
        <v/>
      </c>
      <c r="P176" s="105" t="str">
        <f>IFERROR(M176/M176*R175*'Mortgage Calculator'!$C$13/12,"")</f>
        <v/>
      </c>
      <c r="Q176" s="105" t="str">
        <f t="shared" si="16"/>
        <v/>
      </c>
      <c r="R176" s="105" t="str">
        <f t="shared" si="17"/>
        <v/>
      </c>
    </row>
    <row r="177" spans="3:18" x14ac:dyDescent="0.3">
      <c r="C177" s="1" t="e">
        <f t="shared" si="13"/>
        <v>#VALUE!</v>
      </c>
      <c r="D177" s="1" t="str">
        <f t="shared" si="12"/>
        <v/>
      </c>
      <c r="F177" s="52" t="e">
        <f>'Mortgage Calculator'!$G$9*((1+'Mortgage Calculator'!$P$8)^(MISC!C177-1))</f>
        <v>#VALUE!</v>
      </c>
      <c r="G177" s="70" t="e">
        <f>'Mortgage Calculator'!$U$25*((1+'Mortgage Calculator'!$S$10)^(MISC!C177-1))</f>
        <v>#VALUE!</v>
      </c>
      <c r="H177" s="52" t="e">
        <f t="shared" si="14"/>
        <v>#VALUE!</v>
      </c>
      <c r="I177" s="69" t="str">
        <f>IFERROR(IF((H177+I176)*(1+('Mortgage Calculator'!$S$12/12))&gt;R177,"stop",(H177+I176)*(1+('Mortgage Calculator'!$S$12/12))),"")</f>
        <v/>
      </c>
      <c r="M177" s="83" t="str">
        <f t="shared" si="15"/>
        <v/>
      </c>
      <c r="N177" s="83"/>
      <c r="O177" s="105" t="str">
        <f>IFERROR(M177/M177*'Mortgage Calculator'!$U$28,"")</f>
        <v/>
      </c>
      <c r="P177" s="105" t="str">
        <f>IFERROR(M177/M177*R176*'Mortgage Calculator'!$C$13/12,"")</f>
        <v/>
      </c>
      <c r="Q177" s="105" t="str">
        <f t="shared" si="16"/>
        <v/>
      </c>
      <c r="R177" s="105" t="str">
        <f t="shared" si="17"/>
        <v/>
      </c>
    </row>
    <row r="178" spans="3:18" x14ac:dyDescent="0.3">
      <c r="C178" s="1" t="e">
        <f t="shared" si="13"/>
        <v>#VALUE!</v>
      </c>
      <c r="D178" s="1" t="str">
        <f t="shared" si="12"/>
        <v/>
      </c>
      <c r="F178" s="52" t="e">
        <f>'Mortgage Calculator'!$G$9*((1+'Mortgage Calculator'!$P$8)^(MISC!C178-1))</f>
        <v>#VALUE!</v>
      </c>
      <c r="G178" s="70" t="e">
        <f>'Mortgage Calculator'!$U$25*((1+'Mortgage Calculator'!$S$10)^(MISC!C178-1))</f>
        <v>#VALUE!</v>
      </c>
      <c r="H178" s="52" t="e">
        <f t="shared" si="14"/>
        <v>#VALUE!</v>
      </c>
      <c r="I178" s="69" t="str">
        <f>IFERROR(IF((H178+I177)*(1+('Mortgage Calculator'!$S$12/12))&gt;R178,"stop",(H178+I177)*(1+('Mortgage Calculator'!$S$12/12))),"")</f>
        <v/>
      </c>
      <c r="M178" s="83" t="str">
        <f t="shared" si="15"/>
        <v/>
      </c>
      <c r="N178" s="83"/>
      <c r="O178" s="105" t="str">
        <f>IFERROR(M178/M178*'Mortgage Calculator'!$U$28,"")</f>
        <v/>
      </c>
      <c r="P178" s="105" t="str">
        <f>IFERROR(M178/M178*R177*'Mortgage Calculator'!$C$13/12,"")</f>
        <v/>
      </c>
      <c r="Q178" s="105" t="str">
        <f t="shared" si="16"/>
        <v/>
      </c>
      <c r="R178" s="105" t="str">
        <f t="shared" si="17"/>
        <v/>
      </c>
    </row>
    <row r="179" spans="3:18" x14ac:dyDescent="0.3">
      <c r="C179" s="1" t="e">
        <f t="shared" si="13"/>
        <v>#VALUE!</v>
      </c>
      <c r="D179" s="1" t="str">
        <f t="shared" si="12"/>
        <v/>
      </c>
      <c r="F179" s="52" t="e">
        <f>'Mortgage Calculator'!$G$9*((1+'Mortgage Calculator'!$P$8)^(MISC!C179-1))</f>
        <v>#VALUE!</v>
      </c>
      <c r="G179" s="70" t="e">
        <f>'Mortgage Calculator'!$U$25*((1+'Mortgage Calculator'!$S$10)^(MISC!C179-1))</f>
        <v>#VALUE!</v>
      </c>
      <c r="H179" s="52" t="e">
        <f t="shared" si="14"/>
        <v>#VALUE!</v>
      </c>
      <c r="I179" s="69" t="str">
        <f>IFERROR(IF((H179+I178)*(1+('Mortgage Calculator'!$S$12/12))&gt;R179,"stop",(H179+I178)*(1+('Mortgage Calculator'!$S$12/12))),"")</f>
        <v/>
      </c>
      <c r="M179" s="83" t="str">
        <f t="shared" si="15"/>
        <v/>
      </c>
      <c r="N179" s="83"/>
      <c r="O179" s="105" t="str">
        <f>IFERROR(M179/M179*'Mortgage Calculator'!$U$28,"")</f>
        <v/>
      </c>
      <c r="P179" s="105" t="str">
        <f>IFERROR(M179/M179*R178*'Mortgage Calculator'!$C$13/12,"")</f>
        <v/>
      </c>
      <c r="Q179" s="105" t="str">
        <f t="shared" si="16"/>
        <v/>
      </c>
      <c r="R179" s="105" t="str">
        <f t="shared" si="17"/>
        <v/>
      </c>
    </row>
    <row r="180" spans="3:18" x14ac:dyDescent="0.3">
      <c r="C180" s="1" t="e">
        <f t="shared" si="13"/>
        <v>#VALUE!</v>
      </c>
      <c r="D180" s="1" t="str">
        <f t="shared" si="12"/>
        <v/>
      </c>
      <c r="F180" s="52" t="e">
        <f>'Mortgage Calculator'!$G$9*((1+'Mortgage Calculator'!$P$8)^(MISC!C180-1))</f>
        <v>#VALUE!</v>
      </c>
      <c r="G180" s="70" t="e">
        <f>'Mortgage Calculator'!$U$25*((1+'Mortgage Calculator'!$S$10)^(MISC!C180-1))</f>
        <v>#VALUE!</v>
      </c>
      <c r="H180" s="52" t="e">
        <f t="shared" si="14"/>
        <v>#VALUE!</v>
      </c>
      <c r="I180" s="69" t="str">
        <f>IFERROR(IF((H180+I179)*(1+('Mortgage Calculator'!$S$12/12))&gt;R180,"stop",(H180+I179)*(1+('Mortgage Calculator'!$S$12/12))),"")</f>
        <v/>
      </c>
      <c r="M180" s="83" t="str">
        <f t="shared" si="15"/>
        <v/>
      </c>
      <c r="N180" s="83"/>
      <c r="O180" s="105" t="str">
        <f>IFERROR(M180/M180*'Mortgage Calculator'!$U$28,"")</f>
        <v/>
      </c>
      <c r="P180" s="105" t="str">
        <f>IFERROR(M180/M180*R179*'Mortgage Calculator'!$C$13/12,"")</f>
        <v/>
      </c>
      <c r="Q180" s="105" t="str">
        <f t="shared" si="16"/>
        <v/>
      </c>
      <c r="R180" s="105" t="str">
        <f t="shared" si="17"/>
        <v/>
      </c>
    </row>
    <row r="181" spans="3:18" x14ac:dyDescent="0.3">
      <c r="C181" s="1" t="e">
        <f t="shared" si="13"/>
        <v>#VALUE!</v>
      </c>
      <c r="D181" s="1" t="str">
        <f t="shared" si="12"/>
        <v/>
      </c>
      <c r="F181" s="52" t="e">
        <f>'Mortgage Calculator'!$G$9*((1+'Mortgage Calculator'!$P$8)^(MISC!C181-1))</f>
        <v>#VALUE!</v>
      </c>
      <c r="G181" s="70" t="e">
        <f>'Mortgage Calculator'!$U$25*((1+'Mortgage Calculator'!$S$10)^(MISC!C181-1))</f>
        <v>#VALUE!</v>
      </c>
      <c r="H181" s="52" t="e">
        <f t="shared" si="14"/>
        <v>#VALUE!</v>
      </c>
      <c r="I181" s="69" t="str">
        <f>IFERROR(IF((H181+I180)*(1+('Mortgage Calculator'!$S$12/12))&gt;R181,"stop",(H181+I180)*(1+('Mortgage Calculator'!$S$12/12))),"")</f>
        <v/>
      </c>
      <c r="M181" s="83" t="str">
        <f t="shared" si="15"/>
        <v/>
      </c>
      <c r="N181" s="83"/>
      <c r="O181" s="105" t="str">
        <f>IFERROR(M181/M181*'Mortgage Calculator'!$U$28,"")</f>
        <v/>
      </c>
      <c r="P181" s="105" t="str">
        <f>IFERROR(M181/M181*R180*'Mortgage Calculator'!$C$13/12,"")</f>
        <v/>
      </c>
      <c r="Q181" s="105" t="str">
        <f t="shared" si="16"/>
        <v/>
      </c>
      <c r="R181" s="105" t="str">
        <f t="shared" si="17"/>
        <v/>
      </c>
    </row>
    <row r="182" spans="3:18" x14ac:dyDescent="0.3">
      <c r="C182" s="1" t="e">
        <f t="shared" si="13"/>
        <v>#VALUE!</v>
      </c>
      <c r="D182" s="1" t="str">
        <f t="shared" si="12"/>
        <v/>
      </c>
      <c r="F182" s="52" t="e">
        <f>'Mortgage Calculator'!$G$9*((1+'Mortgage Calculator'!$P$8)^(MISC!C182-1))</f>
        <v>#VALUE!</v>
      </c>
      <c r="G182" s="70" t="e">
        <f>'Mortgage Calculator'!$U$25*((1+'Mortgage Calculator'!$S$10)^(MISC!C182-1))</f>
        <v>#VALUE!</v>
      </c>
      <c r="H182" s="52" t="e">
        <f t="shared" si="14"/>
        <v>#VALUE!</v>
      </c>
      <c r="I182" s="69" t="str">
        <f>IFERROR(IF((H182+I181)*(1+('Mortgage Calculator'!$S$12/12))&gt;R182,"stop",(H182+I181)*(1+('Mortgage Calculator'!$S$12/12))),"")</f>
        <v/>
      </c>
      <c r="M182" s="83" t="str">
        <f t="shared" si="15"/>
        <v/>
      </c>
      <c r="N182" s="83"/>
      <c r="O182" s="105" t="str">
        <f>IFERROR(M182/M182*'Mortgage Calculator'!$U$28,"")</f>
        <v/>
      </c>
      <c r="P182" s="105" t="str">
        <f>IFERROR(M182/M182*R181*'Mortgage Calculator'!$C$13/12,"")</f>
        <v/>
      </c>
      <c r="Q182" s="105" t="str">
        <f t="shared" si="16"/>
        <v/>
      </c>
      <c r="R182" s="105" t="str">
        <f t="shared" si="17"/>
        <v/>
      </c>
    </row>
    <row r="183" spans="3:18" x14ac:dyDescent="0.3">
      <c r="C183" s="1" t="e">
        <f t="shared" si="13"/>
        <v>#VALUE!</v>
      </c>
      <c r="D183" s="1" t="str">
        <f t="shared" si="12"/>
        <v/>
      </c>
      <c r="F183" s="52" t="e">
        <f>'Mortgage Calculator'!$G$9*((1+'Mortgage Calculator'!$P$8)^(MISC!C183-1))</f>
        <v>#VALUE!</v>
      </c>
      <c r="G183" s="70" t="e">
        <f>'Mortgage Calculator'!$U$25*((1+'Mortgage Calculator'!$S$10)^(MISC!C183-1))</f>
        <v>#VALUE!</v>
      </c>
      <c r="H183" s="52" t="e">
        <f t="shared" si="14"/>
        <v>#VALUE!</v>
      </c>
      <c r="I183" s="69" t="str">
        <f>IFERROR(IF((H183+I182)*(1+('Mortgage Calculator'!$S$12/12))&gt;R183,"stop",(H183+I182)*(1+('Mortgage Calculator'!$S$12/12))),"")</f>
        <v/>
      </c>
      <c r="M183" s="83" t="str">
        <f t="shared" si="15"/>
        <v/>
      </c>
      <c r="N183" s="83"/>
      <c r="O183" s="105" t="str">
        <f>IFERROR(M183/M183*'Mortgage Calculator'!$U$28,"")</f>
        <v/>
      </c>
      <c r="P183" s="105" t="str">
        <f>IFERROR(M183/M183*R182*'Mortgage Calculator'!$C$13/12,"")</f>
        <v/>
      </c>
      <c r="Q183" s="105" t="str">
        <f t="shared" si="16"/>
        <v/>
      </c>
      <c r="R183" s="105" t="str">
        <f t="shared" si="17"/>
        <v/>
      </c>
    </row>
    <row r="184" spans="3:18" x14ac:dyDescent="0.3">
      <c r="C184" s="1" t="e">
        <f t="shared" si="13"/>
        <v>#VALUE!</v>
      </c>
      <c r="D184" s="1" t="str">
        <f t="shared" si="12"/>
        <v/>
      </c>
      <c r="F184" s="52" t="e">
        <f>'Mortgage Calculator'!$G$9*((1+'Mortgage Calculator'!$P$8)^(MISC!C184-1))</f>
        <v>#VALUE!</v>
      </c>
      <c r="G184" s="70" t="e">
        <f>'Mortgage Calculator'!$U$25*((1+'Mortgage Calculator'!$S$10)^(MISC!C184-1))</f>
        <v>#VALUE!</v>
      </c>
      <c r="H184" s="52" t="e">
        <f t="shared" si="14"/>
        <v>#VALUE!</v>
      </c>
      <c r="I184" s="69" t="str">
        <f>IFERROR(IF((H184+I183)*(1+('Mortgage Calculator'!$S$12/12))&gt;R184,"stop",(H184+I183)*(1+('Mortgage Calculator'!$S$12/12))),"")</f>
        <v/>
      </c>
      <c r="M184" s="83" t="str">
        <f t="shared" si="15"/>
        <v/>
      </c>
      <c r="N184" s="83"/>
      <c r="O184" s="105" t="str">
        <f>IFERROR(M184/M184*'Mortgage Calculator'!$U$28,"")</f>
        <v/>
      </c>
      <c r="P184" s="105" t="str">
        <f>IFERROR(M184/M184*R183*'Mortgage Calculator'!$C$13/12,"")</f>
        <v/>
      </c>
      <c r="Q184" s="105" t="str">
        <f t="shared" si="16"/>
        <v/>
      </c>
      <c r="R184" s="105" t="str">
        <f t="shared" si="17"/>
        <v/>
      </c>
    </row>
    <row r="185" spans="3:18" x14ac:dyDescent="0.3">
      <c r="C185" s="1" t="e">
        <f t="shared" si="13"/>
        <v>#VALUE!</v>
      </c>
      <c r="D185" s="1" t="str">
        <f t="shared" si="12"/>
        <v/>
      </c>
      <c r="F185" s="52" t="e">
        <f>'Mortgage Calculator'!$G$9*((1+'Mortgage Calculator'!$P$8)^(MISC!C185-1))</f>
        <v>#VALUE!</v>
      </c>
      <c r="G185" s="70" t="e">
        <f>'Mortgage Calculator'!$U$25*((1+'Mortgage Calculator'!$S$10)^(MISC!C185-1))</f>
        <v>#VALUE!</v>
      </c>
      <c r="H185" s="52" t="e">
        <f t="shared" si="14"/>
        <v>#VALUE!</v>
      </c>
      <c r="I185" s="69" t="str">
        <f>IFERROR(IF((H185+I184)*(1+('Mortgage Calculator'!$S$12/12))&gt;R185,"stop",(H185+I184)*(1+('Mortgage Calculator'!$S$12/12))),"")</f>
        <v/>
      </c>
      <c r="M185" s="83" t="str">
        <f t="shared" si="15"/>
        <v/>
      </c>
      <c r="N185" s="83"/>
      <c r="O185" s="105" t="str">
        <f>IFERROR(M185/M185*'Mortgage Calculator'!$U$28,"")</f>
        <v/>
      </c>
      <c r="P185" s="105" t="str">
        <f>IFERROR(M185/M185*R184*'Mortgage Calculator'!$C$13/12,"")</f>
        <v/>
      </c>
      <c r="Q185" s="105" t="str">
        <f t="shared" si="16"/>
        <v/>
      </c>
      <c r="R185" s="105" t="str">
        <f t="shared" si="17"/>
        <v/>
      </c>
    </row>
    <row r="186" spans="3:18" x14ac:dyDescent="0.3">
      <c r="C186" s="1" t="e">
        <f t="shared" si="13"/>
        <v>#VALUE!</v>
      </c>
      <c r="D186" s="1" t="str">
        <f t="shared" si="12"/>
        <v/>
      </c>
      <c r="F186" s="52" t="e">
        <f>'Mortgage Calculator'!$G$9*((1+'Mortgage Calculator'!$P$8)^(MISC!C186-1))</f>
        <v>#VALUE!</v>
      </c>
      <c r="G186" s="70" t="e">
        <f>'Mortgage Calculator'!$U$25*((1+'Mortgage Calculator'!$S$10)^(MISC!C186-1))</f>
        <v>#VALUE!</v>
      </c>
      <c r="H186" s="52" t="e">
        <f t="shared" si="14"/>
        <v>#VALUE!</v>
      </c>
      <c r="I186" s="69" t="str">
        <f>IFERROR(IF((H186+I185)*(1+('Mortgage Calculator'!$S$12/12))&gt;R186,"stop",(H186+I185)*(1+('Mortgage Calculator'!$S$12/12))),"")</f>
        <v/>
      </c>
      <c r="M186" s="83" t="str">
        <f t="shared" si="15"/>
        <v/>
      </c>
      <c r="N186" s="83"/>
      <c r="O186" s="105" t="str">
        <f>IFERROR(M186/M186*'Mortgage Calculator'!$U$28,"")</f>
        <v/>
      </c>
      <c r="P186" s="105" t="str">
        <f>IFERROR(M186/M186*R185*'Mortgage Calculator'!$C$13/12,"")</f>
        <v/>
      </c>
      <c r="Q186" s="105" t="str">
        <f t="shared" si="16"/>
        <v/>
      </c>
      <c r="R186" s="105" t="str">
        <f t="shared" si="17"/>
        <v/>
      </c>
    </row>
    <row r="187" spans="3:18" x14ac:dyDescent="0.3">
      <c r="C187" s="1" t="e">
        <f t="shared" si="13"/>
        <v>#VALUE!</v>
      </c>
      <c r="D187" s="1" t="str">
        <f t="shared" si="12"/>
        <v/>
      </c>
      <c r="F187" s="52" t="e">
        <f>'Mortgage Calculator'!$G$9*((1+'Mortgage Calculator'!$P$8)^(MISC!C187-1))</f>
        <v>#VALUE!</v>
      </c>
      <c r="G187" s="70" t="e">
        <f>'Mortgage Calculator'!$U$25*((1+'Mortgage Calculator'!$S$10)^(MISC!C187-1))</f>
        <v>#VALUE!</v>
      </c>
      <c r="H187" s="52" t="e">
        <f t="shared" si="14"/>
        <v>#VALUE!</v>
      </c>
      <c r="I187" s="69" t="str">
        <f>IFERROR(IF((H187+I186)*(1+('Mortgage Calculator'!$S$12/12))&gt;R187,"stop",(H187+I186)*(1+('Mortgage Calculator'!$S$12/12))),"")</f>
        <v/>
      </c>
      <c r="M187" s="83" t="str">
        <f t="shared" si="15"/>
        <v/>
      </c>
      <c r="N187" s="83"/>
      <c r="O187" s="105" t="str">
        <f>IFERROR(M187/M187*'Mortgage Calculator'!$U$28,"")</f>
        <v/>
      </c>
      <c r="P187" s="105" t="str">
        <f>IFERROR(M187/M187*R186*'Mortgage Calculator'!$C$13/12,"")</f>
        <v/>
      </c>
      <c r="Q187" s="105" t="str">
        <f t="shared" si="16"/>
        <v/>
      </c>
      <c r="R187" s="105" t="str">
        <f t="shared" si="17"/>
        <v/>
      </c>
    </row>
    <row r="188" spans="3:18" x14ac:dyDescent="0.3">
      <c r="C188" s="1" t="e">
        <f t="shared" si="13"/>
        <v>#VALUE!</v>
      </c>
      <c r="D188" s="1" t="str">
        <f t="shared" si="12"/>
        <v/>
      </c>
      <c r="F188" s="52" t="e">
        <f>'Mortgage Calculator'!$G$9*((1+'Mortgage Calculator'!$P$8)^(MISC!C188-1))</f>
        <v>#VALUE!</v>
      </c>
      <c r="G188" s="70" t="e">
        <f>'Mortgage Calculator'!$U$25*((1+'Mortgage Calculator'!$S$10)^(MISC!C188-1))</f>
        <v>#VALUE!</v>
      </c>
      <c r="H188" s="52" t="e">
        <f t="shared" si="14"/>
        <v>#VALUE!</v>
      </c>
      <c r="I188" s="69" t="str">
        <f>IFERROR(IF((H188+I187)*(1+('Mortgage Calculator'!$S$12/12))&gt;R188,"stop",(H188+I187)*(1+('Mortgage Calculator'!$S$12/12))),"")</f>
        <v/>
      </c>
      <c r="M188" s="83" t="str">
        <f t="shared" si="15"/>
        <v/>
      </c>
      <c r="N188" s="83"/>
      <c r="O188" s="105" t="str">
        <f>IFERROR(M188/M188*'Mortgage Calculator'!$U$28,"")</f>
        <v/>
      </c>
      <c r="P188" s="105" t="str">
        <f>IFERROR(M188/M188*R187*'Mortgage Calculator'!$C$13/12,"")</f>
        <v/>
      </c>
      <c r="Q188" s="105" t="str">
        <f t="shared" si="16"/>
        <v/>
      </c>
      <c r="R188" s="105" t="str">
        <f t="shared" si="17"/>
        <v/>
      </c>
    </row>
    <row r="189" spans="3:18" x14ac:dyDescent="0.3">
      <c r="C189" s="1" t="e">
        <f t="shared" si="13"/>
        <v>#VALUE!</v>
      </c>
      <c r="D189" s="1" t="str">
        <f t="shared" si="12"/>
        <v/>
      </c>
      <c r="F189" s="52" t="e">
        <f>'Mortgage Calculator'!$G$9*((1+'Mortgage Calculator'!$P$8)^(MISC!C189-1))</f>
        <v>#VALUE!</v>
      </c>
      <c r="G189" s="70" t="e">
        <f>'Mortgage Calculator'!$U$25*((1+'Mortgage Calculator'!$S$10)^(MISC!C189-1))</f>
        <v>#VALUE!</v>
      </c>
      <c r="H189" s="52" t="e">
        <f t="shared" si="14"/>
        <v>#VALUE!</v>
      </c>
      <c r="I189" s="69" t="str">
        <f>IFERROR(IF((H189+I188)*(1+('Mortgage Calculator'!$S$12/12))&gt;R189,"stop",(H189+I188)*(1+('Mortgage Calculator'!$S$12/12))),"")</f>
        <v/>
      </c>
      <c r="M189" s="83" t="str">
        <f t="shared" si="15"/>
        <v/>
      </c>
      <c r="N189" s="83"/>
      <c r="O189" s="105" t="str">
        <f>IFERROR(M189/M189*'Mortgage Calculator'!$U$28,"")</f>
        <v/>
      </c>
      <c r="P189" s="105" t="str">
        <f>IFERROR(M189/M189*R188*'Mortgage Calculator'!$C$13/12,"")</f>
        <v/>
      </c>
      <c r="Q189" s="105" t="str">
        <f t="shared" si="16"/>
        <v/>
      </c>
      <c r="R189" s="105" t="str">
        <f t="shared" si="17"/>
        <v/>
      </c>
    </row>
    <row r="190" spans="3:18" x14ac:dyDescent="0.3">
      <c r="C190" s="1" t="e">
        <f t="shared" si="13"/>
        <v>#VALUE!</v>
      </c>
      <c r="D190" s="1" t="str">
        <f t="shared" si="12"/>
        <v/>
      </c>
      <c r="F190" s="52" t="e">
        <f>'Mortgage Calculator'!$G$9*((1+'Mortgage Calculator'!$P$8)^(MISC!C190-1))</f>
        <v>#VALUE!</v>
      </c>
      <c r="G190" s="70" t="e">
        <f>'Mortgage Calculator'!$U$25*((1+'Mortgage Calculator'!$S$10)^(MISC!C190-1))</f>
        <v>#VALUE!</v>
      </c>
      <c r="H190" s="52" t="e">
        <f t="shared" si="14"/>
        <v>#VALUE!</v>
      </c>
      <c r="I190" s="69" t="str">
        <f>IFERROR(IF((H190+I189)*(1+('Mortgage Calculator'!$S$12/12))&gt;R190,"stop",(H190+I189)*(1+('Mortgage Calculator'!$S$12/12))),"")</f>
        <v/>
      </c>
      <c r="M190" s="83" t="str">
        <f t="shared" si="15"/>
        <v/>
      </c>
      <c r="N190" s="83"/>
      <c r="O190" s="105" t="str">
        <f>IFERROR(M190/M190*'Mortgage Calculator'!$U$28,"")</f>
        <v/>
      </c>
      <c r="P190" s="105" t="str">
        <f>IFERROR(M190/M190*R189*'Mortgage Calculator'!$C$13/12,"")</f>
        <v/>
      </c>
      <c r="Q190" s="105" t="str">
        <f t="shared" si="16"/>
        <v/>
      </c>
      <c r="R190" s="105" t="str">
        <f t="shared" si="17"/>
        <v/>
      </c>
    </row>
    <row r="191" spans="3:18" x14ac:dyDescent="0.3">
      <c r="C191" s="1" t="e">
        <f t="shared" si="13"/>
        <v>#VALUE!</v>
      </c>
      <c r="D191" s="1" t="str">
        <f t="shared" si="12"/>
        <v/>
      </c>
      <c r="F191" s="52" t="e">
        <f>'Mortgage Calculator'!$G$9*((1+'Mortgage Calculator'!$P$8)^(MISC!C191-1))</f>
        <v>#VALUE!</v>
      </c>
      <c r="G191" s="70" t="e">
        <f>'Mortgage Calculator'!$U$25*((1+'Mortgage Calculator'!$S$10)^(MISC!C191-1))</f>
        <v>#VALUE!</v>
      </c>
      <c r="H191" s="52" t="e">
        <f t="shared" si="14"/>
        <v>#VALUE!</v>
      </c>
      <c r="I191" s="69" t="str">
        <f>IFERROR(IF((H191+I190)*(1+('Mortgage Calculator'!$S$12/12))&gt;R191,"stop",(H191+I190)*(1+('Mortgage Calculator'!$S$12/12))),"")</f>
        <v/>
      </c>
      <c r="M191" s="83" t="str">
        <f t="shared" si="15"/>
        <v/>
      </c>
      <c r="N191" s="83"/>
      <c r="O191" s="105" t="str">
        <f>IFERROR(M191/M191*'Mortgage Calculator'!$U$28,"")</f>
        <v/>
      </c>
      <c r="P191" s="105" t="str">
        <f>IFERROR(M191/M191*R190*'Mortgage Calculator'!$C$13/12,"")</f>
        <v/>
      </c>
      <c r="Q191" s="105" t="str">
        <f t="shared" si="16"/>
        <v/>
      </c>
      <c r="R191" s="105" t="str">
        <f t="shared" si="17"/>
        <v/>
      </c>
    </row>
    <row r="192" spans="3:18" x14ac:dyDescent="0.3">
      <c r="C192" s="1" t="e">
        <f t="shared" si="13"/>
        <v>#VALUE!</v>
      </c>
      <c r="D192" s="1" t="str">
        <f t="shared" si="12"/>
        <v/>
      </c>
      <c r="F192" s="52" t="e">
        <f>'Mortgage Calculator'!$G$9*((1+'Mortgage Calculator'!$P$8)^(MISC!C192-1))</f>
        <v>#VALUE!</v>
      </c>
      <c r="G192" s="70" t="e">
        <f>'Mortgage Calculator'!$U$25*((1+'Mortgage Calculator'!$S$10)^(MISC!C192-1))</f>
        <v>#VALUE!</v>
      </c>
      <c r="H192" s="52" t="e">
        <f t="shared" si="14"/>
        <v>#VALUE!</v>
      </c>
      <c r="I192" s="69" t="str">
        <f>IFERROR(IF((H192+I191)*(1+('Mortgage Calculator'!$S$12/12))&gt;R192,"stop",(H192+I191)*(1+('Mortgage Calculator'!$S$12/12))),"")</f>
        <v/>
      </c>
      <c r="M192" s="83" t="str">
        <f t="shared" si="15"/>
        <v/>
      </c>
      <c r="N192" s="83"/>
      <c r="O192" s="105" t="str">
        <f>IFERROR(M192/M192*'Mortgage Calculator'!$U$28,"")</f>
        <v/>
      </c>
      <c r="P192" s="105" t="str">
        <f>IFERROR(M192/M192*R191*'Mortgage Calculator'!$C$13/12,"")</f>
        <v/>
      </c>
      <c r="Q192" s="105" t="str">
        <f t="shared" si="16"/>
        <v/>
      </c>
      <c r="R192" s="105" t="str">
        <f t="shared" si="17"/>
        <v/>
      </c>
    </row>
    <row r="193" spans="3:18" x14ac:dyDescent="0.3">
      <c r="C193" s="1" t="e">
        <f t="shared" si="13"/>
        <v>#VALUE!</v>
      </c>
      <c r="D193" s="1" t="str">
        <f t="shared" si="12"/>
        <v/>
      </c>
      <c r="F193" s="52" t="e">
        <f>'Mortgage Calculator'!$G$9*((1+'Mortgage Calculator'!$P$8)^(MISC!C193-1))</f>
        <v>#VALUE!</v>
      </c>
      <c r="G193" s="70" t="e">
        <f>'Mortgage Calculator'!$U$25*((1+'Mortgage Calculator'!$S$10)^(MISC!C193-1))</f>
        <v>#VALUE!</v>
      </c>
      <c r="H193" s="52" t="e">
        <f t="shared" si="14"/>
        <v>#VALUE!</v>
      </c>
      <c r="I193" s="69" t="str">
        <f>IFERROR(IF((H193+I192)*(1+('Mortgage Calculator'!$S$12/12))&gt;R193,"stop",(H193+I192)*(1+('Mortgage Calculator'!$S$12/12))),"")</f>
        <v/>
      </c>
      <c r="M193" s="83" t="str">
        <f t="shared" si="15"/>
        <v/>
      </c>
      <c r="N193" s="83"/>
      <c r="O193" s="105" t="str">
        <f>IFERROR(M193/M193*'Mortgage Calculator'!$U$28,"")</f>
        <v/>
      </c>
      <c r="P193" s="105" t="str">
        <f>IFERROR(M193/M193*R192*'Mortgage Calculator'!$C$13/12,"")</f>
        <v/>
      </c>
      <c r="Q193" s="105" t="str">
        <f t="shared" si="16"/>
        <v/>
      </c>
      <c r="R193" s="105" t="str">
        <f t="shared" si="17"/>
        <v/>
      </c>
    </row>
    <row r="194" spans="3:18" x14ac:dyDescent="0.3">
      <c r="C194" s="1" t="e">
        <f t="shared" si="13"/>
        <v>#VALUE!</v>
      </c>
      <c r="D194" s="1" t="str">
        <f t="shared" si="12"/>
        <v/>
      </c>
      <c r="F194" s="52" t="e">
        <f>'Mortgage Calculator'!$G$9*((1+'Mortgage Calculator'!$P$8)^(MISC!C194-1))</f>
        <v>#VALUE!</v>
      </c>
      <c r="G194" s="70" t="e">
        <f>'Mortgage Calculator'!$U$25*((1+'Mortgage Calculator'!$S$10)^(MISC!C194-1))</f>
        <v>#VALUE!</v>
      </c>
      <c r="H194" s="52" t="e">
        <f t="shared" si="14"/>
        <v>#VALUE!</v>
      </c>
      <c r="I194" s="69" t="str">
        <f>IFERROR(IF((H194+I193)*(1+('Mortgage Calculator'!$S$12/12))&gt;R194,"stop",(H194+I193)*(1+('Mortgage Calculator'!$S$12/12))),"")</f>
        <v/>
      </c>
      <c r="M194" s="83" t="str">
        <f t="shared" si="15"/>
        <v/>
      </c>
      <c r="N194" s="83"/>
      <c r="O194" s="105" t="str">
        <f>IFERROR(M194/M194*'Mortgage Calculator'!$U$28,"")</f>
        <v/>
      </c>
      <c r="P194" s="105" t="str">
        <f>IFERROR(M194/M194*R193*'Mortgage Calculator'!$C$13/12,"")</f>
        <v/>
      </c>
      <c r="Q194" s="105" t="str">
        <f t="shared" si="16"/>
        <v/>
      </c>
      <c r="R194" s="105" t="str">
        <f t="shared" si="17"/>
        <v/>
      </c>
    </row>
    <row r="195" spans="3:18" x14ac:dyDescent="0.3">
      <c r="C195" s="1" t="e">
        <f t="shared" si="13"/>
        <v>#VALUE!</v>
      </c>
      <c r="D195" s="1" t="str">
        <f t="shared" si="12"/>
        <v/>
      </c>
      <c r="F195" s="52" t="e">
        <f>'Mortgage Calculator'!$G$9*((1+'Mortgage Calculator'!$P$8)^(MISC!C195-1))</f>
        <v>#VALUE!</v>
      </c>
      <c r="G195" s="70" t="e">
        <f>'Mortgage Calculator'!$U$25*((1+'Mortgage Calculator'!$S$10)^(MISC!C195-1))</f>
        <v>#VALUE!</v>
      </c>
      <c r="H195" s="52" t="e">
        <f t="shared" si="14"/>
        <v>#VALUE!</v>
      </c>
      <c r="I195" s="69" t="str">
        <f>IFERROR(IF((H195+I194)*(1+('Mortgage Calculator'!$S$12/12))&gt;R195,"stop",(H195+I194)*(1+('Mortgage Calculator'!$S$12/12))),"")</f>
        <v/>
      </c>
      <c r="M195" s="83" t="str">
        <f t="shared" si="15"/>
        <v/>
      </c>
      <c r="N195" s="83"/>
      <c r="O195" s="105" t="str">
        <f>IFERROR(M195/M195*'Mortgage Calculator'!$U$28,"")</f>
        <v/>
      </c>
      <c r="P195" s="105" t="str">
        <f>IFERROR(M195/M195*R194*'Mortgage Calculator'!$C$13/12,"")</f>
        <v/>
      </c>
      <c r="Q195" s="105" t="str">
        <f t="shared" si="16"/>
        <v/>
      </c>
      <c r="R195" s="105" t="str">
        <f t="shared" si="17"/>
        <v/>
      </c>
    </row>
    <row r="196" spans="3:18" x14ac:dyDescent="0.3">
      <c r="C196" s="1" t="e">
        <f t="shared" si="13"/>
        <v>#VALUE!</v>
      </c>
      <c r="D196" s="1" t="str">
        <f t="shared" si="12"/>
        <v/>
      </c>
      <c r="F196" s="52" t="e">
        <f>'Mortgage Calculator'!$G$9*((1+'Mortgage Calculator'!$P$8)^(MISC!C196-1))</f>
        <v>#VALUE!</v>
      </c>
      <c r="G196" s="70" t="e">
        <f>'Mortgage Calculator'!$U$25*((1+'Mortgage Calculator'!$S$10)^(MISC!C196-1))</f>
        <v>#VALUE!</v>
      </c>
      <c r="H196" s="52" t="e">
        <f t="shared" si="14"/>
        <v>#VALUE!</v>
      </c>
      <c r="I196" s="69" t="str">
        <f>IFERROR(IF((H196+I195)*(1+('Mortgage Calculator'!$S$12/12))&gt;R196,"stop",(H196+I195)*(1+('Mortgage Calculator'!$S$12/12))),"")</f>
        <v/>
      </c>
      <c r="M196" s="83" t="str">
        <f t="shared" si="15"/>
        <v/>
      </c>
      <c r="N196" s="83"/>
      <c r="O196" s="105" t="str">
        <f>IFERROR(M196/M196*'Mortgage Calculator'!$U$28,"")</f>
        <v/>
      </c>
      <c r="P196" s="105" t="str">
        <f>IFERROR(M196/M196*R195*'Mortgage Calculator'!$C$13/12,"")</f>
        <v/>
      </c>
      <c r="Q196" s="105" t="str">
        <f t="shared" si="16"/>
        <v/>
      </c>
      <c r="R196" s="105" t="str">
        <f t="shared" si="17"/>
        <v/>
      </c>
    </row>
    <row r="197" spans="3:18" x14ac:dyDescent="0.3">
      <c r="C197" s="1" t="e">
        <f t="shared" si="13"/>
        <v>#VALUE!</v>
      </c>
      <c r="D197" s="1" t="str">
        <f t="shared" si="12"/>
        <v/>
      </c>
      <c r="F197" s="52" t="e">
        <f>'Mortgage Calculator'!$G$9*((1+'Mortgage Calculator'!$P$8)^(MISC!C197-1))</f>
        <v>#VALUE!</v>
      </c>
      <c r="G197" s="70" t="e">
        <f>'Mortgage Calculator'!$U$25*((1+'Mortgage Calculator'!$S$10)^(MISC!C197-1))</f>
        <v>#VALUE!</v>
      </c>
      <c r="H197" s="52" t="e">
        <f t="shared" si="14"/>
        <v>#VALUE!</v>
      </c>
      <c r="I197" s="69" t="str">
        <f>IFERROR(IF((H197+I196)*(1+('Mortgage Calculator'!$S$12/12))&gt;R197,"stop",(H197+I196)*(1+('Mortgage Calculator'!$S$12/12))),"")</f>
        <v/>
      </c>
      <c r="M197" s="83" t="str">
        <f t="shared" si="15"/>
        <v/>
      </c>
      <c r="N197" s="83"/>
      <c r="O197" s="105" t="str">
        <f>IFERROR(M197/M197*'Mortgage Calculator'!$U$28,"")</f>
        <v/>
      </c>
      <c r="P197" s="105" t="str">
        <f>IFERROR(M197/M197*R196*'Mortgage Calculator'!$C$13/12,"")</f>
        <v/>
      </c>
      <c r="Q197" s="105" t="str">
        <f t="shared" si="16"/>
        <v/>
      </c>
      <c r="R197" s="105" t="str">
        <f t="shared" si="17"/>
        <v/>
      </c>
    </row>
    <row r="198" spans="3:18" x14ac:dyDescent="0.3">
      <c r="C198" s="1" t="e">
        <f t="shared" si="13"/>
        <v>#VALUE!</v>
      </c>
      <c r="D198" s="1" t="str">
        <f t="shared" si="12"/>
        <v/>
      </c>
      <c r="F198" s="52" t="e">
        <f>'Mortgage Calculator'!$G$9*((1+'Mortgage Calculator'!$P$8)^(MISC!C198-1))</f>
        <v>#VALUE!</v>
      </c>
      <c r="G198" s="70" t="e">
        <f>'Mortgage Calculator'!$U$25*((1+'Mortgage Calculator'!$S$10)^(MISC!C198-1))</f>
        <v>#VALUE!</v>
      </c>
      <c r="H198" s="52" t="e">
        <f t="shared" si="14"/>
        <v>#VALUE!</v>
      </c>
      <c r="I198" s="69" t="str">
        <f>IFERROR(IF((H198+I197)*(1+('Mortgage Calculator'!$S$12/12))&gt;R198,"stop",(H198+I197)*(1+('Mortgage Calculator'!$S$12/12))),"")</f>
        <v/>
      </c>
      <c r="M198" s="83" t="str">
        <f t="shared" si="15"/>
        <v/>
      </c>
      <c r="N198" s="83"/>
      <c r="O198" s="105" t="str">
        <f>IFERROR(M198/M198*'Mortgage Calculator'!$U$28,"")</f>
        <v/>
      </c>
      <c r="P198" s="105" t="str">
        <f>IFERROR(M198/M198*R197*'Mortgage Calculator'!$C$13/12,"")</f>
        <v/>
      </c>
      <c r="Q198" s="105" t="str">
        <f t="shared" si="16"/>
        <v/>
      </c>
      <c r="R198" s="105" t="str">
        <f t="shared" si="17"/>
        <v/>
      </c>
    </row>
    <row r="199" spans="3:18" x14ac:dyDescent="0.3">
      <c r="C199" s="1" t="e">
        <f t="shared" si="13"/>
        <v>#VALUE!</v>
      </c>
      <c r="D199" s="1" t="str">
        <f t="shared" si="12"/>
        <v/>
      </c>
      <c r="F199" s="52" t="e">
        <f>'Mortgage Calculator'!$G$9*((1+'Mortgage Calculator'!$P$8)^(MISC!C199-1))</f>
        <v>#VALUE!</v>
      </c>
      <c r="G199" s="70" t="e">
        <f>'Mortgage Calculator'!$U$25*((1+'Mortgage Calculator'!$S$10)^(MISC!C199-1))</f>
        <v>#VALUE!</v>
      </c>
      <c r="H199" s="52" t="e">
        <f t="shared" si="14"/>
        <v>#VALUE!</v>
      </c>
      <c r="I199" s="69" t="str">
        <f>IFERROR(IF((H199+I198)*(1+('Mortgage Calculator'!$S$12/12))&gt;R199,"stop",(H199+I198)*(1+('Mortgage Calculator'!$S$12/12))),"")</f>
        <v/>
      </c>
      <c r="M199" s="83" t="str">
        <f t="shared" si="15"/>
        <v/>
      </c>
      <c r="N199" s="83"/>
      <c r="O199" s="105" t="str">
        <f>IFERROR(M199/M199*'Mortgage Calculator'!$U$28,"")</f>
        <v/>
      </c>
      <c r="P199" s="105" t="str">
        <f>IFERROR(M199/M199*R198*'Mortgage Calculator'!$C$13/12,"")</f>
        <v/>
      </c>
      <c r="Q199" s="105" t="str">
        <f t="shared" si="16"/>
        <v/>
      </c>
      <c r="R199" s="105" t="str">
        <f t="shared" si="17"/>
        <v/>
      </c>
    </row>
    <row r="200" spans="3:18" x14ac:dyDescent="0.3">
      <c r="C200" s="1" t="e">
        <f t="shared" si="13"/>
        <v>#VALUE!</v>
      </c>
      <c r="D200" s="1" t="str">
        <f t="shared" si="12"/>
        <v/>
      </c>
      <c r="F200" s="52" t="e">
        <f>'Mortgage Calculator'!$G$9*((1+'Mortgage Calculator'!$P$8)^(MISC!C200-1))</f>
        <v>#VALUE!</v>
      </c>
      <c r="G200" s="70" t="e">
        <f>'Mortgage Calculator'!$U$25*((1+'Mortgage Calculator'!$S$10)^(MISC!C200-1))</f>
        <v>#VALUE!</v>
      </c>
      <c r="H200" s="52" t="e">
        <f t="shared" si="14"/>
        <v>#VALUE!</v>
      </c>
      <c r="I200" s="69" t="str">
        <f>IFERROR(IF((H200+I199)*(1+('Mortgage Calculator'!$S$12/12))&gt;R200,"stop",(H200+I199)*(1+('Mortgage Calculator'!$S$12/12))),"")</f>
        <v/>
      </c>
      <c r="M200" s="83" t="str">
        <f t="shared" si="15"/>
        <v/>
      </c>
      <c r="N200" s="83"/>
      <c r="O200" s="105" t="str">
        <f>IFERROR(M200/M200*'Mortgage Calculator'!$U$28,"")</f>
        <v/>
      </c>
      <c r="P200" s="105" t="str">
        <f>IFERROR(M200/M200*R199*'Mortgage Calculator'!$C$13/12,"")</f>
        <v/>
      </c>
      <c r="Q200" s="105" t="str">
        <f t="shared" si="16"/>
        <v/>
      </c>
      <c r="R200" s="105" t="str">
        <f t="shared" si="17"/>
        <v/>
      </c>
    </row>
    <row r="201" spans="3:18" x14ac:dyDescent="0.3">
      <c r="C201" s="1" t="e">
        <f t="shared" si="13"/>
        <v>#VALUE!</v>
      </c>
      <c r="D201" s="1" t="str">
        <f t="shared" si="12"/>
        <v/>
      </c>
      <c r="F201" s="52" t="e">
        <f>'Mortgage Calculator'!$G$9*((1+'Mortgage Calculator'!$P$8)^(MISC!C201-1))</f>
        <v>#VALUE!</v>
      </c>
      <c r="G201" s="70" t="e">
        <f>'Mortgage Calculator'!$U$25*((1+'Mortgage Calculator'!$S$10)^(MISC!C201-1))</f>
        <v>#VALUE!</v>
      </c>
      <c r="H201" s="52" t="e">
        <f t="shared" si="14"/>
        <v>#VALUE!</v>
      </c>
      <c r="I201" s="69" t="str">
        <f>IFERROR(IF((H201+I200)*(1+('Mortgage Calculator'!$S$12/12))&gt;R201,"stop",(H201+I200)*(1+('Mortgage Calculator'!$S$12/12))),"")</f>
        <v/>
      </c>
      <c r="M201" s="83" t="str">
        <f t="shared" si="15"/>
        <v/>
      </c>
      <c r="N201" s="83"/>
      <c r="O201" s="105" t="str">
        <f>IFERROR(M201/M201*'Mortgage Calculator'!$U$28,"")</f>
        <v/>
      </c>
      <c r="P201" s="105" t="str">
        <f>IFERROR(M201/M201*R200*'Mortgage Calculator'!$C$13/12,"")</f>
        <v/>
      </c>
      <c r="Q201" s="105" t="str">
        <f t="shared" si="16"/>
        <v/>
      </c>
      <c r="R201" s="105" t="str">
        <f t="shared" si="17"/>
        <v/>
      </c>
    </row>
    <row r="202" spans="3:18" x14ac:dyDescent="0.3">
      <c r="C202" s="1" t="e">
        <f t="shared" si="13"/>
        <v>#VALUE!</v>
      </c>
      <c r="D202" s="1" t="str">
        <f t="shared" ref="D202:D265" si="18">IF(E202="","",ROW()-9)</f>
        <v/>
      </c>
      <c r="F202" s="52" t="e">
        <f>'Mortgage Calculator'!$G$9*((1+'Mortgage Calculator'!$P$8)^(MISC!C202-1))</f>
        <v>#VALUE!</v>
      </c>
      <c r="G202" s="70" t="e">
        <f>'Mortgage Calculator'!$U$25*((1+'Mortgage Calculator'!$S$10)^(MISC!C202-1))</f>
        <v>#VALUE!</v>
      </c>
      <c r="H202" s="52" t="e">
        <f t="shared" si="14"/>
        <v>#VALUE!</v>
      </c>
      <c r="I202" s="69" t="str">
        <f>IFERROR(IF((H202+I201)*(1+('Mortgage Calculator'!$S$12/12))&gt;R202,"stop",(H202+I201)*(1+('Mortgage Calculator'!$S$12/12))),"")</f>
        <v/>
      </c>
      <c r="M202" s="83" t="str">
        <f t="shared" si="15"/>
        <v/>
      </c>
      <c r="N202" s="83"/>
      <c r="O202" s="105" t="str">
        <f>IFERROR(M202/M202*'Mortgage Calculator'!$U$28,"")</f>
        <v/>
      </c>
      <c r="P202" s="105" t="str">
        <f>IFERROR(M202/M202*R201*'Mortgage Calculator'!$C$13/12,"")</f>
        <v/>
      </c>
      <c r="Q202" s="105" t="str">
        <f t="shared" si="16"/>
        <v/>
      </c>
      <c r="R202" s="105" t="str">
        <f t="shared" si="17"/>
        <v/>
      </c>
    </row>
    <row r="203" spans="3:18" x14ac:dyDescent="0.3">
      <c r="C203" s="1" t="e">
        <f t="shared" ref="C203:C266" si="19">ROUNDUP(D203/12,0)</f>
        <v>#VALUE!</v>
      </c>
      <c r="D203" s="1" t="str">
        <f t="shared" si="18"/>
        <v/>
      </c>
      <c r="F203" s="52" t="e">
        <f>'Mortgage Calculator'!$G$9*((1+'Mortgage Calculator'!$P$8)^(MISC!C203-1))</f>
        <v>#VALUE!</v>
      </c>
      <c r="G203" s="70" t="e">
        <f>'Mortgage Calculator'!$U$25*((1+'Mortgage Calculator'!$S$10)^(MISC!C203-1))</f>
        <v>#VALUE!</v>
      </c>
      <c r="H203" s="52" t="e">
        <f t="shared" ref="H203:H266" si="20">F203-G203</f>
        <v>#VALUE!</v>
      </c>
      <c r="I203" s="69" t="str">
        <f>IFERROR(IF((H203+I202)*(1+('Mortgage Calculator'!$S$12/12))&gt;R203,"stop",(H203+I202)*(1+('Mortgage Calculator'!$S$12/12))),"")</f>
        <v/>
      </c>
      <c r="M203" s="83" t="str">
        <f t="shared" ref="M203:M266" si="21">IF(N203="","",ROW()-9)</f>
        <v/>
      </c>
      <c r="N203" s="83"/>
      <c r="O203" s="105" t="str">
        <f>IFERROR(M203/M203*'Mortgage Calculator'!$U$28,"")</f>
        <v/>
      </c>
      <c r="P203" s="105" t="str">
        <f>IFERROR(M203/M203*R202*'Mortgage Calculator'!$C$13/12,"")</f>
        <v/>
      </c>
      <c r="Q203" s="105" t="str">
        <f t="shared" ref="Q203:Q266" si="22">IFERROR(O203-P203,"")</f>
        <v/>
      </c>
      <c r="R203" s="105" t="str">
        <f t="shared" ref="R203:R266" si="23">IFERROR(R202-Q203,"")</f>
        <v/>
      </c>
    </row>
    <row r="204" spans="3:18" x14ac:dyDescent="0.3">
      <c r="C204" s="1" t="e">
        <f t="shared" si="19"/>
        <v>#VALUE!</v>
      </c>
      <c r="D204" s="1" t="str">
        <f t="shared" si="18"/>
        <v/>
      </c>
      <c r="F204" s="52" t="e">
        <f>'Mortgage Calculator'!$G$9*((1+'Mortgage Calculator'!$P$8)^(MISC!C204-1))</f>
        <v>#VALUE!</v>
      </c>
      <c r="G204" s="70" t="e">
        <f>'Mortgage Calculator'!$U$25*((1+'Mortgage Calculator'!$S$10)^(MISC!C204-1))</f>
        <v>#VALUE!</v>
      </c>
      <c r="H204" s="52" t="e">
        <f t="shared" si="20"/>
        <v>#VALUE!</v>
      </c>
      <c r="I204" s="69" t="str">
        <f>IFERROR(IF((H204+I203)*(1+('Mortgage Calculator'!$S$12/12))&gt;R204,"stop",(H204+I203)*(1+('Mortgage Calculator'!$S$12/12))),"")</f>
        <v/>
      </c>
      <c r="M204" s="83" t="str">
        <f t="shared" si="21"/>
        <v/>
      </c>
      <c r="N204" s="83"/>
      <c r="O204" s="105" t="str">
        <f>IFERROR(M204/M204*'Mortgage Calculator'!$U$28,"")</f>
        <v/>
      </c>
      <c r="P204" s="105" t="str">
        <f>IFERROR(M204/M204*R203*'Mortgage Calculator'!$C$13/12,"")</f>
        <v/>
      </c>
      <c r="Q204" s="105" t="str">
        <f t="shared" si="22"/>
        <v/>
      </c>
      <c r="R204" s="105" t="str">
        <f t="shared" si="23"/>
        <v/>
      </c>
    </row>
    <row r="205" spans="3:18" x14ac:dyDescent="0.3">
      <c r="C205" s="1" t="e">
        <f t="shared" si="19"/>
        <v>#VALUE!</v>
      </c>
      <c r="D205" s="1" t="str">
        <f t="shared" si="18"/>
        <v/>
      </c>
      <c r="F205" s="52" t="e">
        <f>'Mortgage Calculator'!$G$9*((1+'Mortgage Calculator'!$P$8)^(MISC!C205-1))</f>
        <v>#VALUE!</v>
      </c>
      <c r="G205" s="70" t="e">
        <f>'Mortgage Calculator'!$U$25*((1+'Mortgage Calculator'!$S$10)^(MISC!C205-1))</f>
        <v>#VALUE!</v>
      </c>
      <c r="H205" s="52" t="e">
        <f t="shared" si="20"/>
        <v>#VALUE!</v>
      </c>
      <c r="I205" s="69" t="str">
        <f>IFERROR(IF((H205+I204)*(1+('Mortgage Calculator'!$S$12/12))&gt;R205,"stop",(H205+I204)*(1+('Mortgage Calculator'!$S$12/12))),"")</f>
        <v/>
      </c>
      <c r="M205" s="83" t="str">
        <f t="shared" si="21"/>
        <v/>
      </c>
      <c r="N205" s="83"/>
      <c r="O205" s="105" t="str">
        <f>IFERROR(M205/M205*'Mortgage Calculator'!$U$28,"")</f>
        <v/>
      </c>
      <c r="P205" s="105" t="str">
        <f>IFERROR(M205/M205*R204*'Mortgage Calculator'!$C$13/12,"")</f>
        <v/>
      </c>
      <c r="Q205" s="105" t="str">
        <f t="shared" si="22"/>
        <v/>
      </c>
      <c r="R205" s="105" t="str">
        <f t="shared" si="23"/>
        <v/>
      </c>
    </row>
    <row r="206" spans="3:18" x14ac:dyDescent="0.3">
      <c r="C206" s="1" t="e">
        <f t="shared" si="19"/>
        <v>#VALUE!</v>
      </c>
      <c r="D206" s="1" t="str">
        <f t="shared" si="18"/>
        <v/>
      </c>
      <c r="F206" s="52" t="e">
        <f>'Mortgage Calculator'!$G$9*((1+'Mortgage Calculator'!$P$8)^(MISC!C206-1))</f>
        <v>#VALUE!</v>
      </c>
      <c r="G206" s="70" t="e">
        <f>'Mortgage Calculator'!$U$25*((1+'Mortgage Calculator'!$S$10)^(MISC!C206-1))</f>
        <v>#VALUE!</v>
      </c>
      <c r="H206" s="52" t="e">
        <f t="shared" si="20"/>
        <v>#VALUE!</v>
      </c>
      <c r="I206" s="69" t="str">
        <f>IFERROR(IF((H206+I205)*(1+('Mortgage Calculator'!$S$12/12))&gt;R206,"stop",(H206+I205)*(1+('Mortgage Calculator'!$S$12/12))),"")</f>
        <v/>
      </c>
      <c r="M206" s="83" t="str">
        <f t="shared" si="21"/>
        <v/>
      </c>
      <c r="N206" s="83"/>
      <c r="O206" s="105" t="str">
        <f>IFERROR(M206/M206*'Mortgage Calculator'!$U$28,"")</f>
        <v/>
      </c>
      <c r="P206" s="105" t="str">
        <f>IFERROR(M206/M206*R205*'Mortgage Calculator'!$C$13/12,"")</f>
        <v/>
      </c>
      <c r="Q206" s="105" t="str">
        <f t="shared" si="22"/>
        <v/>
      </c>
      <c r="R206" s="105" t="str">
        <f t="shared" si="23"/>
        <v/>
      </c>
    </row>
    <row r="207" spans="3:18" x14ac:dyDescent="0.3">
      <c r="C207" s="1" t="e">
        <f t="shared" si="19"/>
        <v>#VALUE!</v>
      </c>
      <c r="D207" s="1" t="str">
        <f t="shared" si="18"/>
        <v/>
      </c>
      <c r="F207" s="52" t="e">
        <f>'Mortgage Calculator'!$G$9*((1+'Mortgage Calculator'!$P$8)^(MISC!C207-1))</f>
        <v>#VALUE!</v>
      </c>
      <c r="G207" s="70" t="e">
        <f>'Mortgage Calculator'!$U$25*((1+'Mortgage Calculator'!$S$10)^(MISC!C207-1))</f>
        <v>#VALUE!</v>
      </c>
      <c r="H207" s="52" t="e">
        <f t="shared" si="20"/>
        <v>#VALUE!</v>
      </c>
      <c r="I207" s="69" t="str">
        <f>IFERROR(IF((H207+I206)*(1+('Mortgage Calculator'!$S$12/12))&gt;R207,"stop",(H207+I206)*(1+('Mortgage Calculator'!$S$12/12))),"")</f>
        <v/>
      </c>
      <c r="M207" s="83" t="str">
        <f t="shared" si="21"/>
        <v/>
      </c>
      <c r="N207" s="83"/>
      <c r="O207" s="105" t="str">
        <f>IFERROR(M207/M207*'Mortgage Calculator'!$U$28,"")</f>
        <v/>
      </c>
      <c r="P207" s="105" t="str">
        <f>IFERROR(M207/M207*R206*'Mortgage Calculator'!$C$13/12,"")</f>
        <v/>
      </c>
      <c r="Q207" s="105" t="str">
        <f t="shared" si="22"/>
        <v/>
      </c>
      <c r="R207" s="105" t="str">
        <f t="shared" si="23"/>
        <v/>
      </c>
    </row>
    <row r="208" spans="3:18" x14ac:dyDescent="0.3">
      <c r="C208" s="1" t="e">
        <f t="shared" si="19"/>
        <v>#VALUE!</v>
      </c>
      <c r="D208" s="1" t="str">
        <f t="shared" si="18"/>
        <v/>
      </c>
      <c r="F208" s="52" t="e">
        <f>'Mortgage Calculator'!$G$9*((1+'Mortgage Calculator'!$P$8)^(MISC!C208-1))</f>
        <v>#VALUE!</v>
      </c>
      <c r="G208" s="70" t="e">
        <f>'Mortgage Calculator'!$U$25*((1+'Mortgage Calculator'!$S$10)^(MISC!C208-1))</f>
        <v>#VALUE!</v>
      </c>
      <c r="H208" s="52" t="e">
        <f t="shared" si="20"/>
        <v>#VALUE!</v>
      </c>
      <c r="I208" s="69" t="str">
        <f>IFERROR(IF((H208+I207)*(1+('Mortgage Calculator'!$S$12/12))&gt;R208,"stop",(H208+I207)*(1+('Mortgage Calculator'!$S$12/12))),"")</f>
        <v/>
      </c>
      <c r="M208" s="83" t="str">
        <f t="shared" si="21"/>
        <v/>
      </c>
      <c r="N208" s="83"/>
      <c r="O208" s="105" t="str">
        <f>IFERROR(M208/M208*'Mortgage Calculator'!$U$28,"")</f>
        <v/>
      </c>
      <c r="P208" s="105" t="str">
        <f>IFERROR(M208/M208*R207*'Mortgage Calculator'!$C$13/12,"")</f>
        <v/>
      </c>
      <c r="Q208" s="105" t="str">
        <f t="shared" si="22"/>
        <v/>
      </c>
      <c r="R208" s="105" t="str">
        <f t="shared" si="23"/>
        <v/>
      </c>
    </row>
    <row r="209" spans="3:18" x14ac:dyDescent="0.3">
      <c r="C209" s="1" t="e">
        <f t="shared" si="19"/>
        <v>#VALUE!</v>
      </c>
      <c r="D209" s="1" t="str">
        <f t="shared" si="18"/>
        <v/>
      </c>
      <c r="F209" s="52" t="e">
        <f>'Mortgage Calculator'!$G$9*((1+'Mortgage Calculator'!$P$8)^(MISC!C209-1))</f>
        <v>#VALUE!</v>
      </c>
      <c r="G209" s="70" t="e">
        <f>'Mortgage Calculator'!$U$25*((1+'Mortgage Calculator'!$S$10)^(MISC!C209-1))</f>
        <v>#VALUE!</v>
      </c>
      <c r="H209" s="52" t="e">
        <f t="shared" si="20"/>
        <v>#VALUE!</v>
      </c>
      <c r="I209" s="69" t="str">
        <f>IFERROR(IF((H209+I208)*(1+('Mortgage Calculator'!$S$12/12))&gt;R209,"stop",(H209+I208)*(1+('Mortgage Calculator'!$S$12/12))),"")</f>
        <v/>
      </c>
      <c r="M209" s="83" t="str">
        <f t="shared" si="21"/>
        <v/>
      </c>
      <c r="N209" s="83"/>
      <c r="O209" s="105" t="str">
        <f>IFERROR(M209/M209*'Mortgage Calculator'!$U$28,"")</f>
        <v/>
      </c>
      <c r="P209" s="105" t="str">
        <f>IFERROR(M209/M209*R208*'Mortgage Calculator'!$C$13/12,"")</f>
        <v/>
      </c>
      <c r="Q209" s="105" t="str">
        <f t="shared" si="22"/>
        <v/>
      </c>
      <c r="R209" s="105" t="str">
        <f t="shared" si="23"/>
        <v/>
      </c>
    </row>
    <row r="210" spans="3:18" x14ac:dyDescent="0.3">
      <c r="C210" s="1" t="e">
        <f t="shared" si="19"/>
        <v>#VALUE!</v>
      </c>
      <c r="D210" s="1" t="str">
        <f t="shared" si="18"/>
        <v/>
      </c>
      <c r="F210" s="52" t="e">
        <f>'Mortgage Calculator'!$G$9*((1+'Mortgage Calculator'!$P$8)^(MISC!C210-1))</f>
        <v>#VALUE!</v>
      </c>
      <c r="G210" s="70" t="e">
        <f>'Mortgage Calculator'!$U$25*((1+'Mortgage Calculator'!$S$10)^(MISC!C210-1))</f>
        <v>#VALUE!</v>
      </c>
      <c r="H210" s="52" t="e">
        <f t="shared" si="20"/>
        <v>#VALUE!</v>
      </c>
      <c r="I210" s="69" t="str">
        <f>IFERROR(IF((H210+I209)*(1+('Mortgage Calculator'!$S$12/12))&gt;R210,"stop",(H210+I209)*(1+('Mortgage Calculator'!$S$12/12))),"")</f>
        <v/>
      </c>
      <c r="M210" s="83" t="str">
        <f t="shared" si="21"/>
        <v/>
      </c>
      <c r="N210" s="83"/>
      <c r="O210" s="105" t="str">
        <f>IFERROR(M210/M210*'Mortgage Calculator'!$U$28,"")</f>
        <v/>
      </c>
      <c r="P210" s="105" t="str">
        <f>IFERROR(M210/M210*R209*'Mortgage Calculator'!$C$13/12,"")</f>
        <v/>
      </c>
      <c r="Q210" s="105" t="str">
        <f t="shared" si="22"/>
        <v/>
      </c>
      <c r="R210" s="105" t="str">
        <f t="shared" si="23"/>
        <v/>
      </c>
    </row>
    <row r="211" spans="3:18" x14ac:dyDescent="0.3">
      <c r="C211" s="1" t="e">
        <f t="shared" si="19"/>
        <v>#VALUE!</v>
      </c>
      <c r="D211" s="1" t="str">
        <f t="shared" si="18"/>
        <v/>
      </c>
      <c r="F211" s="52" t="e">
        <f>'Mortgage Calculator'!$G$9*((1+'Mortgage Calculator'!$P$8)^(MISC!C211-1))</f>
        <v>#VALUE!</v>
      </c>
      <c r="G211" s="70" t="e">
        <f>'Mortgage Calculator'!$U$25*((1+'Mortgage Calculator'!$S$10)^(MISC!C211-1))</f>
        <v>#VALUE!</v>
      </c>
      <c r="H211" s="52" t="e">
        <f t="shared" si="20"/>
        <v>#VALUE!</v>
      </c>
      <c r="I211" s="69" t="str">
        <f>IFERROR(IF((H211+I210)*(1+('Mortgage Calculator'!$S$12/12))&gt;R211,"stop",(H211+I210)*(1+('Mortgage Calculator'!$S$12/12))),"")</f>
        <v/>
      </c>
      <c r="M211" s="83" t="str">
        <f t="shared" si="21"/>
        <v/>
      </c>
      <c r="N211" s="83"/>
      <c r="O211" s="105" t="str">
        <f>IFERROR(M211/M211*'Mortgage Calculator'!$U$28,"")</f>
        <v/>
      </c>
      <c r="P211" s="105" t="str">
        <f>IFERROR(M211/M211*R210*'Mortgage Calculator'!$C$13/12,"")</f>
        <v/>
      </c>
      <c r="Q211" s="105" t="str">
        <f t="shared" si="22"/>
        <v/>
      </c>
      <c r="R211" s="105" t="str">
        <f t="shared" si="23"/>
        <v/>
      </c>
    </row>
    <row r="212" spans="3:18" x14ac:dyDescent="0.3">
      <c r="C212" s="1" t="e">
        <f t="shared" si="19"/>
        <v>#VALUE!</v>
      </c>
      <c r="D212" s="1" t="str">
        <f t="shared" si="18"/>
        <v/>
      </c>
      <c r="F212" s="52" t="e">
        <f>'Mortgage Calculator'!$G$9*((1+'Mortgage Calculator'!$P$8)^(MISC!C212-1))</f>
        <v>#VALUE!</v>
      </c>
      <c r="G212" s="70" t="e">
        <f>'Mortgage Calculator'!$U$25*((1+'Mortgage Calculator'!$S$10)^(MISC!C212-1))</f>
        <v>#VALUE!</v>
      </c>
      <c r="H212" s="52" t="e">
        <f t="shared" si="20"/>
        <v>#VALUE!</v>
      </c>
      <c r="I212" s="69" t="str">
        <f>IFERROR(IF((H212+I211)*(1+('Mortgage Calculator'!$S$12/12))&gt;R212,"stop",(H212+I211)*(1+('Mortgage Calculator'!$S$12/12))),"")</f>
        <v/>
      </c>
      <c r="M212" s="83" t="str">
        <f t="shared" si="21"/>
        <v/>
      </c>
      <c r="N212" s="83"/>
      <c r="O212" s="105" t="str">
        <f>IFERROR(M212/M212*'Mortgage Calculator'!$U$28,"")</f>
        <v/>
      </c>
      <c r="P212" s="105" t="str">
        <f>IFERROR(M212/M212*R211*'Mortgage Calculator'!$C$13/12,"")</f>
        <v/>
      </c>
      <c r="Q212" s="105" t="str">
        <f t="shared" si="22"/>
        <v/>
      </c>
      <c r="R212" s="105" t="str">
        <f t="shared" si="23"/>
        <v/>
      </c>
    </row>
    <row r="213" spans="3:18" x14ac:dyDescent="0.3">
      <c r="C213" s="1" t="e">
        <f t="shared" si="19"/>
        <v>#VALUE!</v>
      </c>
      <c r="D213" s="1" t="str">
        <f t="shared" si="18"/>
        <v/>
      </c>
      <c r="F213" s="52" t="e">
        <f>'Mortgage Calculator'!$G$9*((1+'Mortgage Calculator'!$P$8)^(MISC!C213-1))</f>
        <v>#VALUE!</v>
      </c>
      <c r="G213" s="70" t="e">
        <f>'Mortgage Calculator'!$U$25*((1+'Mortgage Calculator'!$S$10)^(MISC!C213-1))</f>
        <v>#VALUE!</v>
      </c>
      <c r="H213" s="52" t="e">
        <f t="shared" si="20"/>
        <v>#VALUE!</v>
      </c>
      <c r="I213" s="69" t="str">
        <f>IFERROR(IF((H213+I212)*(1+('Mortgage Calculator'!$S$12/12))&gt;R213,"stop",(H213+I212)*(1+('Mortgage Calculator'!$S$12/12))),"")</f>
        <v/>
      </c>
      <c r="M213" s="83" t="str">
        <f t="shared" si="21"/>
        <v/>
      </c>
      <c r="N213" s="83"/>
      <c r="O213" s="105" t="str">
        <f>IFERROR(M213/M213*'Mortgage Calculator'!$U$28,"")</f>
        <v/>
      </c>
      <c r="P213" s="105" t="str">
        <f>IFERROR(M213/M213*R212*'Mortgage Calculator'!$C$13/12,"")</f>
        <v/>
      </c>
      <c r="Q213" s="105" t="str">
        <f t="shared" si="22"/>
        <v/>
      </c>
      <c r="R213" s="105" t="str">
        <f t="shared" si="23"/>
        <v/>
      </c>
    </row>
    <row r="214" spans="3:18" x14ac:dyDescent="0.3">
      <c r="C214" s="1" t="e">
        <f t="shared" si="19"/>
        <v>#VALUE!</v>
      </c>
      <c r="D214" s="1" t="str">
        <f t="shared" si="18"/>
        <v/>
      </c>
      <c r="F214" s="52" t="e">
        <f>'Mortgage Calculator'!$G$9*((1+'Mortgage Calculator'!$P$8)^(MISC!C214-1))</f>
        <v>#VALUE!</v>
      </c>
      <c r="G214" s="70" t="e">
        <f>'Mortgage Calculator'!$U$25*((1+'Mortgage Calculator'!$S$10)^(MISC!C214-1))</f>
        <v>#VALUE!</v>
      </c>
      <c r="H214" s="52" t="e">
        <f t="shared" si="20"/>
        <v>#VALUE!</v>
      </c>
      <c r="I214" s="69" t="str">
        <f>IFERROR(IF((H214+I213)*(1+('Mortgage Calculator'!$S$12/12))&gt;R214,"stop",(H214+I213)*(1+('Mortgage Calculator'!$S$12/12))),"")</f>
        <v/>
      </c>
      <c r="M214" s="83" t="str">
        <f t="shared" si="21"/>
        <v/>
      </c>
      <c r="N214" s="83"/>
      <c r="O214" s="105" t="str">
        <f>IFERROR(M214/M214*'Mortgage Calculator'!$U$28,"")</f>
        <v/>
      </c>
      <c r="P214" s="105" t="str">
        <f>IFERROR(M214/M214*R213*'Mortgage Calculator'!$C$13/12,"")</f>
        <v/>
      </c>
      <c r="Q214" s="105" t="str">
        <f t="shared" si="22"/>
        <v/>
      </c>
      <c r="R214" s="105" t="str">
        <f t="shared" si="23"/>
        <v/>
      </c>
    </row>
    <row r="215" spans="3:18" x14ac:dyDescent="0.3">
      <c r="C215" s="1" t="e">
        <f t="shared" si="19"/>
        <v>#VALUE!</v>
      </c>
      <c r="D215" s="1" t="str">
        <f t="shared" si="18"/>
        <v/>
      </c>
      <c r="F215" s="52" t="e">
        <f>'Mortgage Calculator'!$G$9*((1+'Mortgage Calculator'!$P$8)^(MISC!C215-1))</f>
        <v>#VALUE!</v>
      </c>
      <c r="G215" s="70" t="e">
        <f>'Mortgage Calculator'!$U$25*((1+'Mortgage Calculator'!$S$10)^(MISC!C215-1))</f>
        <v>#VALUE!</v>
      </c>
      <c r="H215" s="52" t="e">
        <f t="shared" si="20"/>
        <v>#VALUE!</v>
      </c>
      <c r="I215" s="69" t="str">
        <f>IFERROR(IF((H215+I214)*(1+('Mortgage Calculator'!$S$12/12))&gt;R215,"stop",(H215+I214)*(1+('Mortgage Calculator'!$S$12/12))),"")</f>
        <v/>
      </c>
      <c r="M215" s="83" t="str">
        <f t="shared" si="21"/>
        <v/>
      </c>
      <c r="N215" s="83"/>
      <c r="O215" s="105" t="str">
        <f>IFERROR(M215/M215*'Mortgage Calculator'!$U$28,"")</f>
        <v/>
      </c>
      <c r="P215" s="105" t="str">
        <f>IFERROR(M215/M215*R214*'Mortgage Calculator'!$C$13/12,"")</f>
        <v/>
      </c>
      <c r="Q215" s="105" t="str">
        <f t="shared" si="22"/>
        <v/>
      </c>
      <c r="R215" s="105" t="str">
        <f t="shared" si="23"/>
        <v/>
      </c>
    </row>
    <row r="216" spans="3:18" x14ac:dyDescent="0.3">
      <c r="C216" s="1" t="e">
        <f t="shared" si="19"/>
        <v>#VALUE!</v>
      </c>
      <c r="D216" s="1" t="str">
        <f t="shared" si="18"/>
        <v/>
      </c>
      <c r="F216" s="52" t="e">
        <f>'Mortgage Calculator'!$G$9*((1+'Mortgage Calculator'!$P$8)^(MISC!C216-1))</f>
        <v>#VALUE!</v>
      </c>
      <c r="G216" s="70" t="e">
        <f>'Mortgage Calculator'!$U$25*((1+'Mortgage Calculator'!$S$10)^(MISC!C216-1))</f>
        <v>#VALUE!</v>
      </c>
      <c r="H216" s="52" t="e">
        <f t="shared" si="20"/>
        <v>#VALUE!</v>
      </c>
      <c r="I216" s="69" t="str">
        <f>IFERROR(IF((H216+I215)*(1+('Mortgage Calculator'!$S$12/12))&gt;R216,"stop",(H216+I215)*(1+('Mortgage Calculator'!$S$12/12))),"")</f>
        <v/>
      </c>
      <c r="M216" s="83" t="str">
        <f t="shared" si="21"/>
        <v/>
      </c>
      <c r="N216" s="83"/>
      <c r="O216" s="105" t="str">
        <f>IFERROR(M216/M216*'Mortgage Calculator'!$U$28,"")</f>
        <v/>
      </c>
      <c r="P216" s="105" t="str">
        <f>IFERROR(M216/M216*R215*'Mortgage Calculator'!$C$13/12,"")</f>
        <v/>
      </c>
      <c r="Q216" s="105" t="str">
        <f t="shared" si="22"/>
        <v/>
      </c>
      <c r="R216" s="105" t="str">
        <f t="shared" si="23"/>
        <v/>
      </c>
    </row>
    <row r="217" spans="3:18" x14ac:dyDescent="0.3">
      <c r="C217" s="1" t="e">
        <f t="shared" si="19"/>
        <v>#VALUE!</v>
      </c>
      <c r="D217" s="1" t="str">
        <f t="shared" si="18"/>
        <v/>
      </c>
      <c r="F217" s="52" t="e">
        <f>'Mortgage Calculator'!$G$9*((1+'Mortgage Calculator'!$P$8)^(MISC!C217-1))</f>
        <v>#VALUE!</v>
      </c>
      <c r="G217" s="70" t="e">
        <f>'Mortgage Calculator'!$U$25*((1+'Mortgage Calculator'!$S$10)^(MISC!C217-1))</f>
        <v>#VALUE!</v>
      </c>
      <c r="H217" s="52" t="e">
        <f t="shared" si="20"/>
        <v>#VALUE!</v>
      </c>
      <c r="I217" s="69" t="str">
        <f>IFERROR(IF((H217+I216)*(1+('Mortgage Calculator'!$S$12/12))&gt;R217,"stop",(H217+I216)*(1+('Mortgage Calculator'!$S$12/12))),"")</f>
        <v/>
      </c>
      <c r="M217" s="83" t="str">
        <f t="shared" si="21"/>
        <v/>
      </c>
      <c r="N217" s="83"/>
      <c r="O217" s="105" t="str">
        <f>IFERROR(M217/M217*'Mortgage Calculator'!$U$28,"")</f>
        <v/>
      </c>
      <c r="P217" s="105" t="str">
        <f>IFERROR(M217/M217*R216*'Mortgage Calculator'!$C$13/12,"")</f>
        <v/>
      </c>
      <c r="Q217" s="105" t="str">
        <f t="shared" si="22"/>
        <v/>
      </c>
      <c r="R217" s="105" t="str">
        <f t="shared" si="23"/>
        <v/>
      </c>
    </row>
    <row r="218" spans="3:18" x14ac:dyDescent="0.3">
      <c r="C218" s="1" t="e">
        <f t="shared" si="19"/>
        <v>#VALUE!</v>
      </c>
      <c r="D218" s="1" t="str">
        <f t="shared" si="18"/>
        <v/>
      </c>
      <c r="F218" s="52" t="e">
        <f>'Mortgage Calculator'!$G$9*((1+'Mortgage Calculator'!$P$8)^(MISC!C218-1))</f>
        <v>#VALUE!</v>
      </c>
      <c r="G218" s="70" t="e">
        <f>'Mortgage Calculator'!$U$25*((1+'Mortgage Calculator'!$S$10)^(MISC!C218-1))</f>
        <v>#VALUE!</v>
      </c>
      <c r="H218" s="52" t="e">
        <f t="shared" si="20"/>
        <v>#VALUE!</v>
      </c>
      <c r="I218" s="69" t="str">
        <f>IFERROR(IF((H218+I217)*(1+('Mortgage Calculator'!$S$12/12))&gt;R218,"stop",(H218+I217)*(1+('Mortgage Calculator'!$S$12/12))),"")</f>
        <v/>
      </c>
      <c r="M218" s="83" t="str">
        <f t="shared" si="21"/>
        <v/>
      </c>
      <c r="N218" s="83"/>
      <c r="O218" s="105" t="str">
        <f>IFERROR(M218/M218*'Mortgage Calculator'!$U$28,"")</f>
        <v/>
      </c>
      <c r="P218" s="105" t="str">
        <f>IFERROR(M218/M218*R217*'Mortgage Calculator'!$C$13/12,"")</f>
        <v/>
      </c>
      <c r="Q218" s="105" t="str">
        <f t="shared" si="22"/>
        <v/>
      </c>
      <c r="R218" s="105" t="str">
        <f t="shared" si="23"/>
        <v/>
      </c>
    </row>
    <row r="219" spans="3:18" x14ac:dyDescent="0.3">
      <c r="C219" s="1" t="e">
        <f t="shared" si="19"/>
        <v>#VALUE!</v>
      </c>
      <c r="D219" s="1" t="str">
        <f t="shared" si="18"/>
        <v/>
      </c>
      <c r="F219" s="52" t="e">
        <f>'Mortgage Calculator'!$G$9*((1+'Mortgage Calculator'!$P$8)^(MISC!C219-1))</f>
        <v>#VALUE!</v>
      </c>
      <c r="G219" s="70" t="e">
        <f>'Mortgage Calculator'!$U$25*((1+'Mortgage Calculator'!$S$10)^(MISC!C219-1))</f>
        <v>#VALUE!</v>
      </c>
      <c r="H219" s="52" t="e">
        <f t="shared" si="20"/>
        <v>#VALUE!</v>
      </c>
      <c r="I219" s="69" t="str">
        <f>IFERROR(IF((H219+I218)*(1+('Mortgage Calculator'!$S$12/12))&gt;R219,"stop",(H219+I218)*(1+('Mortgage Calculator'!$S$12/12))),"")</f>
        <v/>
      </c>
      <c r="M219" s="83" t="str">
        <f t="shared" si="21"/>
        <v/>
      </c>
      <c r="N219" s="83"/>
      <c r="O219" s="105" t="str">
        <f>IFERROR(M219/M219*'Mortgage Calculator'!$U$28,"")</f>
        <v/>
      </c>
      <c r="P219" s="105" t="str">
        <f>IFERROR(M219/M219*R218*'Mortgage Calculator'!$C$13/12,"")</f>
        <v/>
      </c>
      <c r="Q219" s="105" t="str">
        <f t="shared" si="22"/>
        <v/>
      </c>
      <c r="R219" s="105" t="str">
        <f t="shared" si="23"/>
        <v/>
      </c>
    </row>
    <row r="220" spans="3:18" x14ac:dyDescent="0.3">
      <c r="C220" s="1" t="e">
        <f t="shared" si="19"/>
        <v>#VALUE!</v>
      </c>
      <c r="D220" s="1" t="str">
        <f t="shared" si="18"/>
        <v/>
      </c>
      <c r="F220" s="52" t="e">
        <f>'Mortgage Calculator'!$G$9*((1+'Mortgage Calculator'!$P$8)^(MISC!C220-1))</f>
        <v>#VALUE!</v>
      </c>
      <c r="G220" s="70" t="e">
        <f>'Mortgage Calculator'!$U$25*((1+'Mortgage Calculator'!$S$10)^(MISC!C220-1))</f>
        <v>#VALUE!</v>
      </c>
      <c r="H220" s="52" t="e">
        <f t="shared" si="20"/>
        <v>#VALUE!</v>
      </c>
      <c r="I220" s="69" t="str">
        <f>IFERROR(IF((H220+I219)*(1+('Mortgage Calculator'!$S$12/12))&gt;R220,"stop",(H220+I219)*(1+('Mortgage Calculator'!$S$12/12))),"")</f>
        <v/>
      </c>
      <c r="M220" s="83" t="str">
        <f t="shared" si="21"/>
        <v/>
      </c>
      <c r="N220" s="83"/>
      <c r="O220" s="105" t="str">
        <f>IFERROR(M220/M220*'Mortgage Calculator'!$U$28,"")</f>
        <v/>
      </c>
      <c r="P220" s="105" t="str">
        <f>IFERROR(M220/M220*R219*'Mortgage Calculator'!$C$13/12,"")</f>
        <v/>
      </c>
      <c r="Q220" s="105" t="str">
        <f t="shared" si="22"/>
        <v/>
      </c>
      <c r="R220" s="105" t="str">
        <f t="shared" si="23"/>
        <v/>
      </c>
    </row>
    <row r="221" spans="3:18" x14ac:dyDescent="0.3">
      <c r="C221" s="1" t="e">
        <f t="shared" si="19"/>
        <v>#VALUE!</v>
      </c>
      <c r="D221" s="1" t="str">
        <f t="shared" si="18"/>
        <v/>
      </c>
      <c r="F221" s="52" t="e">
        <f>'Mortgage Calculator'!$G$9*((1+'Mortgage Calculator'!$P$8)^(MISC!C221-1))</f>
        <v>#VALUE!</v>
      </c>
      <c r="G221" s="70" t="e">
        <f>'Mortgage Calculator'!$U$25*((1+'Mortgage Calculator'!$S$10)^(MISC!C221-1))</f>
        <v>#VALUE!</v>
      </c>
      <c r="H221" s="52" t="e">
        <f t="shared" si="20"/>
        <v>#VALUE!</v>
      </c>
      <c r="I221" s="69" t="str">
        <f>IFERROR(IF((H221+I220)*(1+('Mortgage Calculator'!$S$12/12))&gt;R221,"stop",(H221+I220)*(1+('Mortgage Calculator'!$S$12/12))),"")</f>
        <v/>
      </c>
      <c r="M221" s="83" t="str">
        <f t="shared" si="21"/>
        <v/>
      </c>
      <c r="N221" s="83"/>
      <c r="O221" s="105" t="str">
        <f>IFERROR(M221/M221*'Mortgage Calculator'!$U$28,"")</f>
        <v/>
      </c>
      <c r="P221" s="105" t="str">
        <f>IFERROR(M221/M221*R220*'Mortgage Calculator'!$C$13/12,"")</f>
        <v/>
      </c>
      <c r="Q221" s="105" t="str">
        <f t="shared" si="22"/>
        <v/>
      </c>
      <c r="R221" s="105" t="str">
        <f t="shared" si="23"/>
        <v/>
      </c>
    </row>
    <row r="222" spans="3:18" x14ac:dyDescent="0.3">
      <c r="C222" s="1" t="e">
        <f t="shared" si="19"/>
        <v>#VALUE!</v>
      </c>
      <c r="D222" s="1" t="str">
        <f t="shared" si="18"/>
        <v/>
      </c>
      <c r="F222" s="52" t="e">
        <f>'Mortgage Calculator'!$G$9*((1+'Mortgage Calculator'!$P$8)^(MISC!C222-1))</f>
        <v>#VALUE!</v>
      </c>
      <c r="G222" s="70" t="e">
        <f>'Mortgage Calculator'!$U$25*((1+'Mortgage Calculator'!$S$10)^(MISC!C222-1))</f>
        <v>#VALUE!</v>
      </c>
      <c r="H222" s="52" t="e">
        <f t="shared" si="20"/>
        <v>#VALUE!</v>
      </c>
      <c r="I222" s="69" t="str">
        <f>IFERROR(IF((H222+I221)*(1+('Mortgage Calculator'!$S$12/12))&gt;R222,"stop",(H222+I221)*(1+('Mortgage Calculator'!$S$12/12))),"")</f>
        <v/>
      </c>
      <c r="M222" s="83" t="str">
        <f t="shared" si="21"/>
        <v/>
      </c>
      <c r="N222" s="83"/>
      <c r="O222" s="105" t="str">
        <f>IFERROR(M222/M222*'Mortgage Calculator'!$U$28,"")</f>
        <v/>
      </c>
      <c r="P222" s="105" t="str">
        <f>IFERROR(M222/M222*R221*'Mortgage Calculator'!$C$13/12,"")</f>
        <v/>
      </c>
      <c r="Q222" s="105" t="str">
        <f t="shared" si="22"/>
        <v/>
      </c>
      <c r="R222" s="105" t="str">
        <f t="shared" si="23"/>
        <v/>
      </c>
    </row>
    <row r="223" spans="3:18" x14ac:dyDescent="0.3">
      <c r="C223" s="1" t="e">
        <f t="shared" si="19"/>
        <v>#VALUE!</v>
      </c>
      <c r="D223" s="1" t="str">
        <f t="shared" si="18"/>
        <v/>
      </c>
      <c r="F223" s="52" t="e">
        <f>'Mortgage Calculator'!$G$9*((1+'Mortgage Calculator'!$P$8)^(MISC!C223-1))</f>
        <v>#VALUE!</v>
      </c>
      <c r="G223" s="70" t="e">
        <f>'Mortgage Calculator'!$U$25*((1+'Mortgage Calculator'!$S$10)^(MISC!C223-1))</f>
        <v>#VALUE!</v>
      </c>
      <c r="H223" s="52" t="e">
        <f t="shared" si="20"/>
        <v>#VALUE!</v>
      </c>
      <c r="I223" s="69" t="str">
        <f>IFERROR(IF((H223+I222)*(1+('Mortgage Calculator'!$S$12/12))&gt;R223,"stop",(H223+I222)*(1+('Mortgage Calculator'!$S$12/12))),"")</f>
        <v/>
      </c>
      <c r="M223" s="83" t="str">
        <f t="shared" si="21"/>
        <v/>
      </c>
      <c r="N223" s="83"/>
      <c r="O223" s="105" t="str">
        <f>IFERROR(M223/M223*'Mortgage Calculator'!$U$28,"")</f>
        <v/>
      </c>
      <c r="P223" s="105" t="str">
        <f>IFERROR(M223/M223*R222*'Mortgage Calculator'!$C$13/12,"")</f>
        <v/>
      </c>
      <c r="Q223" s="105" t="str">
        <f t="shared" si="22"/>
        <v/>
      </c>
      <c r="R223" s="105" t="str">
        <f t="shared" si="23"/>
        <v/>
      </c>
    </row>
    <row r="224" spans="3:18" x14ac:dyDescent="0.3">
      <c r="C224" s="1" t="e">
        <f t="shared" si="19"/>
        <v>#VALUE!</v>
      </c>
      <c r="D224" s="1" t="str">
        <f t="shared" si="18"/>
        <v/>
      </c>
      <c r="F224" s="52" t="e">
        <f>'Mortgage Calculator'!$G$9*((1+'Mortgage Calculator'!$P$8)^(MISC!C224-1))</f>
        <v>#VALUE!</v>
      </c>
      <c r="G224" s="70" t="e">
        <f>'Mortgage Calculator'!$U$25*((1+'Mortgage Calculator'!$S$10)^(MISC!C224-1))</f>
        <v>#VALUE!</v>
      </c>
      <c r="H224" s="52" t="e">
        <f t="shared" si="20"/>
        <v>#VALUE!</v>
      </c>
      <c r="I224" s="69" t="str">
        <f>IFERROR(IF((H224+I223)*(1+('Mortgage Calculator'!$S$12/12))&gt;R224,"stop",(H224+I223)*(1+('Mortgage Calculator'!$S$12/12))),"")</f>
        <v/>
      </c>
      <c r="M224" s="83" t="str">
        <f t="shared" si="21"/>
        <v/>
      </c>
      <c r="N224" s="83"/>
      <c r="O224" s="105" t="str">
        <f>IFERROR(M224/M224*'Mortgage Calculator'!$U$28,"")</f>
        <v/>
      </c>
      <c r="P224" s="105" t="str">
        <f>IFERROR(M224/M224*R223*'Mortgage Calculator'!$C$13/12,"")</f>
        <v/>
      </c>
      <c r="Q224" s="105" t="str">
        <f t="shared" si="22"/>
        <v/>
      </c>
      <c r="R224" s="105" t="str">
        <f t="shared" si="23"/>
        <v/>
      </c>
    </row>
    <row r="225" spans="3:18" x14ac:dyDescent="0.3">
      <c r="C225" s="1" t="e">
        <f t="shared" si="19"/>
        <v>#VALUE!</v>
      </c>
      <c r="D225" s="1" t="str">
        <f t="shared" si="18"/>
        <v/>
      </c>
      <c r="F225" s="52" t="e">
        <f>'Mortgage Calculator'!$G$9*((1+'Mortgage Calculator'!$P$8)^(MISC!C225-1))</f>
        <v>#VALUE!</v>
      </c>
      <c r="G225" s="70" t="e">
        <f>'Mortgage Calculator'!$U$25*((1+'Mortgage Calculator'!$S$10)^(MISC!C225-1))</f>
        <v>#VALUE!</v>
      </c>
      <c r="H225" s="52" t="e">
        <f t="shared" si="20"/>
        <v>#VALUE!</v>
      </c>
      <c r="I225" s="69" t="str">
        <f>IFERROR(IF((H225+I224)*(1+('Mortgage Calculator'!$S$12/12))&gt;R225,"stop",(H225+I224)*(1+('Mortgage Calculator'!$S$12/12))),"")</f>
        <v/>
      </c>
      <c r="M225" s="83" t="str">
        <f t="shared" si="21"/>
        <v/>
      </c>
      <c r="N225" s="83"/>
      <c r="O225" s="105" t="str">
        <f>IFERROR(M225/M225*'Mortgage Calculator'!$U$28,"")</f>
        <v/>
      </c>
      <c r="P225" s="105" t="str">
        <f>IFERROR(M225/M225*R224*'Mortgage Calculator'!$C$13/12,"")</f>
        <v/>
      </c>
      <c r="Q225" s="105" t="str">
        <f t="shared" si="22"/>
        <v/>
      </c>
      <c r="R225" s="105" t="str">
        <f t="shared" si="23"/>
        <v/>
      </c>
    </row>
    <row r="226" spans="3:18" x14ac:dyDescent="0.3">
      <c r="C226" s="1" t="e">
        <f t="shared" si="19"/>
        <v>#VALUE!</v>
      </c>
      <c r="D226" s="1" t="str">
        <f t="shared" si="18"/>
        <v/>
      </c>
      <c r="F226" s="52" t="e">
        <f>'Mortgage Calculator'!$G$9*((1+'Mortgage Calculator'!$P$8)^(MISC!C226-1))</f>
        <v>#VALUE!</v>
      </c>
      <c r="G226" s="70" t="e">
        <f>'Mortgage Calculator'!$U$25*((1+'Mortgage Calculator'!$S$10)^(MISC!C226-1))</f>
        <v>#VALUE!</v>
      </c>
      <c r="H226" s="52" t="e">
        <f t="shared" si="20"/>
        <v>#VALUE!</v>
      </c>
      <c r="I226" s="69" t="str">
        <f>IFERROR(IF((H226+I225)*(1+('Mortgage Calculator'!$S$12/12))&gt;R226,"stop",(H226+I225)*(1+('Mortgage Calculator'!$S$12/12))),"")</f>
        <v/>
      </c>
      <c r="M226" s="83" t="str">
        <f t="shared" si="21"/>
        <v/>
      </c>
      <c r="N226" s="83"/>
      <c r="O226" s="105" t="str">
        <f>IFERROR(M226/M226*'Mortgage Calculator'!$U$28,"")</f>
        <v/>
      </c>
      <c r="P226" s="105" t="str">
        <f>IFERROR(M226/M226*R225*'Mortgage Calculator'!$C$13/12,"")</f>
        <v/>
      </c>
      <c r="Q226" s="105" t="str">
        <f t="shared" si="22"/>
        <v/>
      </c>
      <c r="R226" s="105" t="str">
        <f t="shared" si="23"/>
        <v/>
      </c>
    </row>
    <row r="227" spans="3:18" x14ac:dyDescent="0.3">
      <c r="C227" s="1" t="e">
        <f t="shared" si="19"/>
        <v>#VALUE!</v>
      </c>
      <c r="D227" s="1" t="str">
        <f t="shared" si="18"/>
        <v/>
      </c>
      <c r="F227" s="52" t="e">
        <f>'Mortgage Calculator'!$G$9*((1+'Mortgage Calculator'!$P$8)^(MISC!C227-1))</f>
        <v>#VALUE!</v>
      </c>
      <c r="G227" s="70" t="e">
        <f>'Mortgage Calculator'!$U$25*((1+'Mortgage Calculator'!$S$10)^(MISC!C227-1))</f>
        <v>#VALUE!</v>
      </c>
      <c r="H227" s="52" t="e">
        <f t="shared" si="20"/>
        <v>#VALUE!</v>
      </c>
      <c r="I227" s="69" t="str">
        <f>IFERROR(IF((H227+I226)*(1+('Mortgage Calculator'!$S$12/12))&gt;R227,"stop",(H227+I226)*(1+('Mortgage Calculator'!$S$12/12))),"")</f>
        <v/>
      </c>
      <c r="M227" s="83" t="str">
        <f t="shared" si="21"/>
        <v/>
      </c>
      <c r="N227" s="83"/>
      <c r="O227" s="105" t="str">
        <f>IFERROR(M227/M227*'Mortgage Calculator'!$U$28,"")</f>
        <v/>
      </c>
      <c r="P227" s="105" t="str">
        <f>IFERROR(M227/M227*R226*'Mortgage Calculator'!$C$13/12,"")</f>
        <v/>
      </c>
      <c r="Q227" s="105" t="str">
        <f t="shared" si="22"/>
        <v/>
      </c>
      <c r="R227" s="105" t="str">
        <f t="shared" si="23"/>
        <v/>
      </c>
    </row>
    <row r="228" spans="3:18" x14ac:dyDescent="0.3">
      <c r="C228" s="1" t="e">
        <f t="shared" si="19"/>
        <v>#VALUE!</v>
      </c>
      <c r="D228" s="1" t="str">
        <f t="shared" si="18"/>
        <v/>
      </c>
      <c r="F228" s="52" t="e">
        <f>'Mortgage Calculator'!$G$9*((1+'Mortgage Calculator'!$P$8)^(MISC!C228-1))</f>
        <v>#VALUE!</v>
      </c>
      <c r="G228" s="70" t="e">
        <f>'Mortgage Calculator'!$U$25*((1+'Mortgage Calculator'!$S$10)^(MISC!C228-1))</f>
        <v>#VALUE!</v>
      </c>
      <c r="H228" s="52" t="e">
        <f t="shared" si="20"/>
        <v>#VALUE!</v>
      </c>
      <c r="I228" s="69" t="str">
        <f>IFERROR(IF((H228+I227)*(1+('Mortgage Calculator'!$S$12/12))&gt;R228,"stop",(H228+I227)*(1+('Mortgage Calculator'!$S$12/12))),"")</f>
        <v/>
      </c>
      <c r="M228" s="83" t="str">
        <f t="shared" si="21"/>
        <v/>
      </c>
      <c r="N228" s="83"/>
      <c r="O228" s="105" t="str">
        <f>IFERROR(M228/M228*'Mortgage Calculator'!$U$28,"")</f>
        <v/>
      </c>
      <c r="P228" s="105" t="str">
        <f>IFERROR(M228/M228*R227*'Mortgage Calculator'!$C$13/12,"")</f>
        <v/>
      </c>
      <c r="Q228" s="105" t="str">
        <f t="shared" si="22"/>
        <v/>
      </c>
      <c r="R228" s="105" t="str">
        <f t="shared" si="23"/>
        <v/>
      </c>
    </row>
    <row r="229" spans="3:18" x14ac:dyDescent="0.3">
      <c r="C229" s="1" t="e">
        <f t="shared" si="19"/>
        <v>#VALUE!</v>
      </c>
      <c r="D229" s="1" t="str">
        <f t="shared" si="18"/>
        <v/>
      </c>
      <c r="F229" s="52" t="e">
        <f>'Mortgage Calculator'!$G$9*((1+'Mortgage Calculator'!$P$8)^(MISC!C229-1))</f>
        <v>#VALUE!</v>
      </c>
      <c r="G229" s="70" t="e">
        <f>'Mortgage Calculator'!$U$25*((1+'Mortgage Calculator'!$S$10)^(MISC!C229-1))</f>
        <v>#VALUE!</v>
      </c>
      <c r="H229" s="52" t="e">
        <f t="shared" si="20"/>
        <v>#VALUE!</v>
      </c>
      <c r="I229" s="69" t="str">
        <f>IFERROR(IF((H229+I228)*(1+('Mortgage Calculator'!$S$12/12))&gt;R229,"stop",(H229+I228)*(1+('Mortgage Calculator'!$S$12/12))),"")</f>
        <v/>
      </c>
      <c r="M229" s="83" t="str">
        <f t="shared" si="21"/>
        <v/>
      </c>
      <c r="N229" s="83"/>
      <c r="O229" s="105" t="str">
        <f>IFERROR(M229/M229*'Mortgage Calculator'!$U$28,"")</f>
        <v/>
      </c>
      <c r="P229" s="105" t="str">
        <f>IFERROR(M229/M229*R228*'Mortgage Calculator'!$C$13/12,"")</f>
        <v/>
      </c>
      <c r="Q229" s="105" t="str">
        <f t="shared" si="22"/>
        <v/>
      </c>
      <c r="R229" s="105" t="str">
        <f t="shared" si="23"/>
        <v/>
      </c>
    </row>
    <row r="230" spans="3:18" x14ac:dyDescent="0.3">
      <c r="C230" s="1" t="e">
        <f t="shared" si="19"/>
        <v>#VALUE!</v>
      </c>
      <c r="D230" s="1" t="str">
        <f t="shared" si="18"/>
        <v/>
      </c>
      <c r="F230" s="52" t="e">
        <f>'Mortgage Calculator'!$G$9*((1+'Mortgage Calculator'!$P$8)^(MISC!C230-1))</f>
        <v>#VALUE!</v>
      </c>
      <c r="G230" s="70" t="e">
        <f>'Mortgage Calculator'!$U$25*((1+'Mortgage Calculator'!$S$10)^(MISC!C230-1))</f>
        <v>#VALUE!</v>
      </c>
      <c r="H230" s="52" t="e">
        <f t="shared" si="20"/>
        <v>#VALUE!</v>
      </c>
      <c r="I230" s="69" t="str">
        <f>IFERROR(IF((H230+I229)*(1+('Mortgage Calculator'!$S$12/12))&gt;R230,"stop",(H230+I229)*(1+('Mortgage Calculator'!$S$12/12))),"")</f>
        <v/>
      </c>
      <c r="M230" s="83" t="str">
        <f t="shared" si="21"/>
        <v/>
      </c>
      <c r="N230" s="83"/>
      <c r="O230" s="105" t="str">
        <f>IFERROR(M230/M230*'Mortgage Calculator'!$U$28,"")</f>
        <v/>
      </c>
      <c r="P230" s="105" t="str">
        <f>IFERROR(M230/M230*R229*'Mortgage Calculator'!$C$13/12,"")</f>
        <v/>
      </c>
      <c r="Q230" s="105" t="str">
        <f t="shared" si="22"/>
        <v/>
      </c>
      <c r="R230" s="105" t="str">
        <f t="shared" si="23"/>
        <v/>
      </c>
    </row>
    <row r="231" spans="3:18" x14ac:dyDescent="0.3">
      <c r="C231" s="1" t="e">
        <f t="shared" si="19"/>
        <v>#VALUE!</v>
      </c>
      <c r="D231" s="1" t="str">
        <f t="shared" si="18"/>
        <v/>
      </c>
      <c r="F231" s="52" t="e">
        <f>'Mortgage Calculator'!$G$9*((1+'Mortgage Calculator'!$P$8)^(MISC!C231-1))</f>
        <v>#VALUE!</v>
      </c>
      <c r="G231" s="70" t="e">
        <f>'Mortgage Calculator'!$U$25*((1+'Mortgage Calculator'!$S$10)^(MISC!C231-1))</f>
        <v>#VALUE!</v>
      </c>
      <c r="H231" s="52" t="e">
        <f t="shared" si="20"/>
        <v>#VALUE!</v>
      </c>
      <c r="I231" s="69" t="str">
        <f>IFERROR(IF((H231+I230)*(1+('Mortgage Calculator'!$S$12/12))&gt;R231,"stop",(H231+I230)*(1+('Mortgage Calculator'!$S$12/12))),"")</f>
        <v/>
      </c>
      <c r="M231" s="83" t="str">
        <f t="shared" si="21"/>
        <v/>
      </c>
      <c r="N231" s="83"/>
      <c r="O231" s="105" t="str">
        <f>IFERROR(M231/M231*'Mortgage Calculator'!$U$28,"")</f>
        <v/>
      </c>
      <c r="P231" s="105" t="str">
        <f>IFERROR(M231/M231*R230*'Mortgage Calculator'!$C$13/12,"")</f>
        <v/>
      </c>
      <c r="Q231" s="105" t="str">
        <f t="shared" si="22"/>
        <v/>
      </c>
      <c r="R231" s="105" t="str">
        <f t="shared" si="23"/>
        <v/>
      </c>
    </row>
    <row r="232" spans="3:18" x14ac:dyDescent="0.3">
      <c r="C232" s="1" t="e">
        <f t="shared" si="19"/>
        <v>#VALUE!</v>
      </c>
      <c r="D232" s="1" t="str">
        <f t="shared" si="18"/>
        <v/>
      </c>
      <c r="F232" s="52" t="e">
        <f>'Mortgage Calculator'!$G$9*((1+'Mortgage Calculator'!$P$8)^(MISC!C232-1))</f>
        <v>#VALUE!</v>
      </c>
      <c r="G232" s="70" t="e">
        <f>'Mortgage Calculator'!$U$25*((1+'Mortgage Calculator'!$S$10)^(MISC!C232-1))</f>
        <v>#VALUE!</v>
      </c>
      <c r="H232" s="52" t="e">
        <f t="shared" si="20"/>
        <v>#VALUE!</v>
      </c>
      <c r="I232" s="69" t="str">
        <f>IFERROR(IF((H232+I231)*(1+('Mortgage Calculator'!$S$12/12))&gt;R232,"stop",(H232+I231)*(1+('Mortgage Calculator'!$S$12/12))),"")</f>
        <v/>
      </c>
      <c r="M232" s="83" t="str">
        <f t="shared" si="21"/>
        <v/>
      </c>
      <c r="N232" s="83"/>
      <c r="O232" s="105" t="str">
        <f>IFERROR(M232/M232*'Mortgage Calculator'!$U$28,"")</f>
        <v/>
      </c>
      <c r="P232" s="105" t="str">
        <f>IFERROR(M232/M232*R231*'Mortgage Calculator'!$C$13/12,"")</f>
        <v/>
      </c>
      <c r="Q232" s="105" t="str">
        <f t="shared" si="22"/>
        <v/>
      </c>
      <c r="R232" s="105" t="str">
        <f t="shared" si="23"/>
        <v/>
      </c>
    </row>
    <row r="233" spans="3:18" x14ac:dyDescent="0.3">
      <c r="C233" s="1" t="e">
        <f t="shared" si="19"/>
        <v>#VALUE!</v>
      </c>
      <c r="D233" s="1" t="str">
        <f t="shared" si="18"/>
        <v/>
      </c>
      <c r="F233" s="52" t="e">
        <f>'Mortgage Calculator'!$G$9*((1+'Mortgage Calculator'!$P$8)^(MISC!C233-1))</f>
        <v>#VALUE!</v>
      </c>
      <c r="G233" s="70" t="e">
        <f>'Mortgage Calculator'!$U$25*((1+'Mortgage Calculator'!$S$10)^(MISC!C233-1))</f>
        <v>#VALUE!</v>
      </c>
      <c r="H233" s="52" t="e">
        <f t="shared" si="20"/>
        <v>#VALUE!</v>
      </c>
      <c r="I233" s="69" t="str">
        <f>IFERROR(IF((H233+I232)*(1+('Mortgage Calculator'!$S$12/12))&gt;R233,"stop",(H233+I232)*(1+('Mortgage Calculator'!$S$12/12))),"")</f>
        <v/>
      </c>
      <c r="M233" s="83" t="str">
        <f t="shared" si="21"/>
        <v/>
      </c>
      <c r="N233" s="83"/>
      <c r="O233" s="105" t="str">
        <f>IFERROR(M233/M233*'Mortgage Calculator'!$U$28,"")</f>
        <v/>
      </c>
      <c r="P233" s="105" t="str">
        <f>IFERROR(M233/M233*R232*'Mortgage Calculator'!$C$13/12,"")</f>
        <v/>
      </c>
      <c r="Q233" s="105" t="str">
        <f t="shared" si="22"/>
        <v/>
      </c>
      <c r="R233" s="105" t="str">
        <f t="shared" si="23"/>
        <v/>
      </c>
    </row>
    <row r="234" spans="3:18" x14ac:dyDescent="0.3">
      <c r="C234" s="1" t="e">
        <f t="shared" si="19"/>
        <v>#VALUE!</v>
      </c>
      <c r="D234" s="1" t="str">
        <f t="shared" si="18"/>
        <v/>
      </c>
      <c r="F234" s="52" t="e">
        <f>'Mortgage Calculator'!$G$9*((1+'Mortgage Calculator'!$P$8)^(MISC!C234-1))</f>
        <v>#VALUE!</v>
      </c>
      <c r="G234" s="70" t="e">
        <f>'Mortgage Calculator'!$U$25*((1+'Mortgage Calculator'!$S$10)^(MISC!C234-1))</f>
        <v>#VALUE!</v>
      </c>
      <c r="H234" s="52" t="e">
        <f t="shared" si="20"/>
        <v>#VALUE!</v>
      </c>
      <c r="I234" s="69" t="str">
        <f>IFERROR(IF((H234+I233)*(1+('Mortgage Calculator'!$S$12/12))&gt;R234,"stop",(H234+I233)*(1+('Mortgage Calculator'!$S$12/12))),"")</f>
        <v/>
      </c>
      <c r="M234" s="83" t="str">
        <f t="shared" si="21"/>
        <v/>
      </c>
      <c r="N234" s="83"/>
      <c r="O234" s="105" t="str">
        <f>IFERROR(M234/M234*'Mortgage Calculator'!$U$28,"")</f>
        <v/>
      </c>
      <c r="P234" s="105" t="str">
        <f>IFERROR(M234/M234*R233*'Mortgage Calculator'!$C$13/12,"")</f>
        <v/>
      </c>
      <c r="Q234" s="105" t="str">
        <f t="shared" si="22"/>
        <v/>
      </c>
      <c r="R234" s="105" t="str">
        <f t="shared" si="23"/>
        <v/>
      </c>
    </row>
    <row r="235" spans="3:18" x14ac:dyDescent="0.3">
      <c r="C235" s="1" t="e">
        <f t="shared" si="19"/>
        <v>#VALUE!</v>
      </c>
      <c r="D235" s="1" t="str">
        <f t="shared" si="18"/>
        <v/>
      </c>
      <c r="F235" s="52" t="e">
        <f>'Mortgage Calculator'!$G$9*((1+'Mortgage Calculator'!$P$8)^(MISC!C235-1))</f>
        <v>#VALUE!</v>
      </c>
      <c r="G235" s="70" t="e">
        <f>'Mortgage Calculator'!$U$25*((1+'Mortgage Calculator'!$S$10)^(MISC!C235-1))</f>
        <v>#VALUE!</v>
      </c>
      <c r="H235" s="52" t="e">
        <f t="shared" si="20"/>
        <v>#VALUE!</v>
      </c>
      <c r="I235" s="69" t="str">
        <f>IFERROR(IF((H235+I234)*(1+('Mortgage Calculator'!$S$12/12))&gt;R235,"stop",(H235+I234)*(1+('Mortgage Calculator'!$S$12/12))),"")</f>
        <v/>
      </c>
      <c r="M235" s="83" t="str">
        <f t="shared" si="21"/>
        <v/>
      </c>
      <c r="N235" s="83"/>
      <c r="O235" s="105" t="str">
        <f>IFERROR(M235/M235*'Mortgage Calculator'!$U$28,"")</f>
        <v/>
      </c>
      <c r="P235" s="105" t="str">
        <f>IFERROR(M235/M235*R234*'Mortgage Calculator'!$C$13/12,"")</f>
        <v/>
      </c>
      <c r="Q235" s="105" t="str">
        <f t="shared" si="22"/>
        <v/>
      </c>
      <c r="R235" s="105" t="str">
        <f t="shared" si="23"/>
        <v/>
      </c>
    </row>
    <row r="236" spans="3:18" x14ac:dyDescent="0.3">
      <c r="C236" s="1" t="e">
        <f t="shared" si="19"/>
        <v>#VALUE!</v>
      </c>
      <c r="D236" s="1" t="str">
        <f t="shared" si="18"/>
        <v/>
      </c>
      <c r="F236" s="52" t="e">
        <f>'Mortgage Calculator'!$G$9*((1+'Mortgage Calculator'!$P$8)^(MISC!C236-1))</f>
        <v>#VALUE!</v>
      </c>
      <c r="G236" s="70" t="e">
        <f>'Mortgage Calculator'!$U$25*((1+'Mortgage Calculator'!$S$10)^(MISC!C236-1))</f>
        <v>#VALUE!</v>
      </c>
      <c r="H236" s="52" t="e">
        <f t="shared" si="20"/>
        <v>#VALUE!</v>
      </c>
      <c r="I236" s="69" t="str">
        <f>IFERROR(IF((H236+I235)*(1+('Mortgage Calculator'!$S$12/12))&gt;R236,"stop",(H236+I235)*(1+('Mortgage Calculator'!$S$12/12))),"")</f>
        <v/>
      </c>
      <c r="M236" s="83" t="str">
        <f t="shared" si="21"/>
        <v/>
      </c>
      <c r="N236" s="83"/>
      <c r="O236" s="105" t="str">
        <f>IFERROR(M236/M236*'Mortgage Calculator'!$U$28,"")</f>
        <v/>
      </c>
      <c r="P236" s="105" t="str">
        <f>IFERROR(M236/M236*R235*'Mortgage Calculator'!$C$13/12,"")</f>
        <v/>
      </c>
      <c r="Q236" s="105" t="str">
        <f t="shared" si="22"/>
        <v/>
      </c>
      <c r="R236" s="105" t="str">
        <f t="shared" si="23"/>
        <v/>
      </c>
    </row>
    <row r="237" spans="3:18" x14ac:dyDescent="0.3">
      <c r="C237" s="1" t="e">
        <f t="shared" si="19"/>
        <v>#VALUE!</v>
      </c>
      <c r="D237" s="1" t="str">
        <f t="shared" si="18"/>
        <v/>
      </c>
      <c r="F237" s="52" t="e">
        <f>'Mortgage Calculator'!$G$9*((1+'Mortgage Calculator'!$P$8)^(MISC!C237-1))</f>
        <v>#VALUE!</v>
      </c>
      <c r="G237" s="70" t="e">
        <f>'Mortgage Calculator'!$U$25*((1+'Mortgage Calculator'!$S$10)^(MISC!C237-1))</f>
        <v>#VALUE!</v>
      </c>
      <c r="H237" s="52" t="e">
        <f t="shared" si="20"/>
        <v>#VALUE!</v>
      </c>
      <c r="I237" s="69" t="str">
        <f>IFERROR(IF((H237+I236)*(1+('Mortgage Calculator'!$S$12/12))&gt;R237,"stop",(H237+I236)*(1+('Mortgage Calculator'!$S$12/12))),"")</f>
        <v/>
      </c>
      <c r="M237" s="83" t="str">
        <f t="shared" si="21"/>
        <v/>
      </c>
      <c r="N237" s="83"/>
      <c r="O237" s="105" t="str">
        <f>IFERROR(M237/M237*'Mortgage Calculator'!$U$28,"")</f>
        <v/>
      </c>
      <c r="P237" s="105" t="str">
        <f>IFERROR(M237/M237*R236*'Mortgage Calculator'!$C$13/12,"")</f>
        <v/>
      </c>
      <c r="Q237" s="105" t="str">
        <f t="shared" si="22"/>
        <v/>
      </c>
      <c r="R237" s="105" t="str">
        <f t="shared" si="23"/>
        <v/>
      </c>
    </row>
    <row r="238" spans="3:18" x14ac:dyDescent="0.3">
      <c r="C238" s="1" t="e">
        <f t="shared" si="19"/>
        <v>#VALUE!</v>
      </c>
      <c r="D238" s="1" t="str">
        <f t="shared" si="18"/>
        <v/>
      </c>
      <c r="F238" s="52" t="e">
        <f>'Mortgage Calculator'!$G$9*((1+'Mortgage Calculator'!$P$8)^(MISC!C238-1))</f>
        <v>#VALUE!</v>
      </c>
      <c r="G238" s="70" t="e">
        <f>'Mortgage Calculator'!$U$25*((1+'Mortgage Calculator'!$S$10)^(MISC!C238-1))</f>
        <v>#VALUE!</v>
      </c>
      <c r="H238" s="52" t="e">
        <f t="shared" si="20"/>
        <v>#VALUE!</v>
      </c>
      <c r="I238" s="69" t="str">
        <f>IFERROR(IF((H238+I237)*(1+('Mortgage Calculator'!$S$12/12))&gt;R238,"stop",(H238+I237)*(1+('Mortgage Calculator'!$S$12/12))),"")</f>
        <v/>
      </c>
      <c r="M238" s="83" t="str">
        <f t="shared" si="21"/>
        <v/>
      </c>
      <c r="N238" s="83"/>
      <c r="O238" s="105" t="str">
        <f>IFERROR(M238/M238*'Mortgage Calculator'!$U$28,"")</f>
        <v/>
      </c>
      <c r="P238" s="105" t="str">
        <f>IFERROR(M238/M238*R237*'Mortgage Calculator'!$C$13/12,"")</f>
        <v/>
      </c>
      <c r="Q238" s="105" t="str">
        <f t="shared" si="22"/>
        <v/>
      </c>
      <c r="R238" s="105" t="str">
        <f t="shared" si="23"/>
        <v/>
      </c>
    </row>
    <row r="239" spans="3:18" x14ac:dyDescent="0.3">
      <c r="C239" s="1" t="e">
        <f t="shared" si="19"/>
        <v>#VALUE!</v>
      </c>
      <c r="D239" s="1" t="str">
        <f t="shared" si="18"/>
        <v/>
      </c>
      <c r="F239" s="52" t="e">
        <f>'Mortgage Calculator'!$G$9*((1+'Mortgage Calculator'!$P$8)^(MISC!C239-1))</f>
        <v>#VALUE!</v>
      </c>
      <c r="G239" s="70" t="e">
        <f>'Mortgage Calculator'!$U$25*((1+'Mortgage Calculator'!$S$10)^(MISC!C239-1))</f>
        <v>#VALUE!</v>
      </c>
      <c r="H239" s="52" t="e">
        <f t="shared" si="20"/>
        <v>#VALUE!</v>
      </c>
      <c r="I239" s="69" t="str">
        <f>IFERROR(IF((H239+I238)*(1+('Mortgage Calculator'!$S$12/12))&gt;R239,"stop",(H239+I238)*(1+('Mortgage Calculator'!$S$12/12))),"")</f>
        <v/>
      </c>
      <c r="M239" s="83" t="str">
        <f t="shared" si="21"/>
        <v/>
      </c>
      <c r="N239" s="83"/>
      <c r="O239" s="105" t="str">
        <f>IFERROR(M239/M239*'Mortgage Calculator'!$U$28,"")</f>
        <v/>
      </c>
      <c r="P239" s="105" t="str">
        <f>IFERROR(M239/M239*R238*'Mortgage Calculator'!$C$13/12,"")</f>
        <v/>
      </c>
      <c r="Q239" s="105" t="str">
        <f t="shared" si="22"/>
        <v/>
      </c>
      <c r="R239" s="105" t="str">
        <f t="shared" si="23"/>
        <v/>
      </c>
    </row>
    <row r="240" spans="3:18" x14ac:dyDescent="0.3">
      <c r="C240" s="1" t="e">
        <f t="shared" si="19"/>
        <v>#VALUE!</v>
      </c>
      <c r="D240" s="1" t="str">
        <f t="shared" si="18"/>
        <v/>
      </c>
      <c r="F240" s="52" t="e">
        <f>'Mortgage Calculator'!$G$9*((1+'Mortgage Calculator'!$P$8)^(MISC!C240-1))</f>
        <v>#VALUE!</v>
      </c>
      <c r="G240" s="70" t="e">
        <f>'Mortgage Calculator'!$U$25*((1+'Mortgage Calculator'!$S$10)^(MISC!C240-1))</f>
        <v>#VALUE!</v>
      </c>
      <c r="H240" s="52" t="e">
        <f t="shared" si="20"/>
        <v>#VALUE!</v>
      </c>
      <c r="I240" s="69" t="str">
        <f>IFERROR(IF((H240+I239)*(1+('Mortgage Calculator'!$S$12/12))&gt;R240,"stop",(H240+I239)*(1+('Mortgage Calculator'!$S$12/12))),"")</f>
        <v/>
      </c>
      <c r="M240" s="83" t="str">
        <f t="shared" si="21"/>
        <v/>
      </c>
      <c r="N240" s="83"/>
      <c r="O240" s="105" t="str">
        <f>IFERROR(M240/M240*'Mortgage Calculator'!$U$28,"")</f>
        <v/>
      </c>
      <c r="P240" s="105" t="str">
        <f>IFERROR(M240/M240*R239*'Mortgage Calculator'!$C$13/12,"")</f>
        <v/>
      </c>
      <c r="Q240" s="105" t="str">
        <f t="shared" si="22"/>
        <v/>
      </c>
      <c r="R240" s="105" t="str">
        <f t="shared" si="23"/>
        <v/>
      </c>
    </row>
    <row r="241" spans="3:18" x14ac:dyDescent="0.3">
      <c r="C241" s="1" t="e">
        <f t="shared" si="19"/>
        <v>#VALUE!</v>
      </c>
      <c r="D241" s="1" t="str">
        <f t="shared" si="18"/>
        <v/>
      </c>
      <c r="F241" s="52" t="e">
        <f>'Mortgage Calculator'!$G$9*((1+'Mortgage Calculator'!$P$8)^(MISC!C241-1))</f>
        <v>#VALUE!</v>
      </c>
      <c r="G241" s="70" t="e">
        <f>'Mortgage Calculator'!$U$25*((1+'Mortgage Calculator'!$S$10)^(MISC!C241-1))</f>
        <v>#VALUE!</v>
      </c>
      <c r="H241" s="52" t="e">
        <f t="shared" si="20"/>
        <v>#VALUE!</v>
      </c>
      <c r="I241" s="69" t="str">
        <f>IFERROR(IF((H241+I240)*(1+('Mortgage Calculator'!$S$12/12))&gt;R241,"stop",(H241+I240)*(1+('Mortgage Calculator'!$S$12/12))),"")</f>
        <v/>
      </c>
      <c r="M241" s="83" t="str">
        <f t="shared" si="21"/>
        <v/>
      </c>
      <c r="N241" s="83"/>
      <c r="O241" s="105" t="str">
        <f>IFERROR(M241/M241*'Mortgage Calculator'!$U$28,"")</f>
        <v/>
      </c>
      <c r="P241" s="105" t="str">
        <f>IFERROR(M241/M241*R240*'Mortgage Calculator'!$C$13/12,"")</f>
        <v/>
      </c>
      <c r="Q241" s="105" t="str">
        <f t="shared" si="22"/>
        <v/>
      </c>
      <c r="R241" s="105" t="str">
        <f t="shared" si="23"/>
        <v/>
      </c>
    </row>
    <row r="242" spans="3:18" x14ac:dyDescent="0.3">
      <c r="C242" s="1" t="e">
        <f t="shared" si="19"/>
        <v>#VALUE!</v>
      </c>
      <c r="D242" s="1" t="str">
        <f t="shared" si="18"/>
        <v/>
      </c>
      <c r="F242" s="52" t="e">
        <f>'Mortgage Calculator'!$G$9*((1+'Mortgage Calculator'!$P$8)^(MISC!C242-1))</f>
        <v>#VALUE!</v>
      </c>
      <c r="G242" s="70" t="e">
        <f>'Mortgage Calculator'!$U$25*((1+'Mortgage Calculator'!$S$10)^(MISC!C242-1))</f>
        <v>#VALUE!</v>
      </c>
      <c r="H242" s="52" t="e">
        <f t="shared" si="20"/>
        <v>#VALUE!</v>
      </c>
      <c r="I242" s="69" t="str">
        <f>IFERROR(IF((H242+I241)*(1+('Mortgage Calculator'!$S$12/12))&gt;R242,"stop",(H242+I241)*(1+('Mortgage Calculator'!$S$12/12))),"")</f>
        <v/>
      </c>
      <c r="M242" s="83" t="str">
        <f t="shared" si="21"/>
        <v/>
      </c>
      <c r="N242" s="83"/>
      <c r="O242" s="105" t="str">
        <f>IFERROR(M242/M242*'Mortgage Calculator'!$U$28,"")</f>
        <v/>
      </c>
      <c r="P242" s="105" t="str">
        <f>IFERROR(M242/M242*R241*'Mortgage Calculator'!$C$13/12,"")</f>
        <v/>
      </c>
      <c r="Q242" s="105" t="str">
        <f t="shared" si="22"/>
        <v/>
      </c>
      <c r="R242" s="105" t="str">
        <f t="shared" si="23"/>
        <v/>
      </c>
    </row>
    <row r="243" spans="3:18" x14ac:dyDescent="0.3">
      <c r="C243" s="1" t="e">
        <f t="shared" si="19"/>
        <v>#VALUE!</v>
      </c>
      <c r="D243" s="1" t="str">
        <f t="shared" si="18"/>
        <v/>
      </c>
      <c r="F243" s="52" t="e">
        <f>'Mortgage Calculator'!$G$9*((1+'Mortgage Calculator'!$P$8)^(MISC!C243-1))</f>
        <v>#VALUE!</v>
      </c>
      <c r="G243" s="70" t="e">
        <f>'Mortgage Calculator'!$U$25*((1+'Mortgage Calculator'!$S$10)^(MISC!C243-1))</f>
        <v>#VALUE!</v>
      </c>
      <c r="H243" s="52" t="e">
        <f t="shared" si="20"/>
        <v>#VALUE!</v>
      </c>
      <c r="I243" s="69" t="str">
        <f>IFERROR(IF((H243+I242)*(1+('Mortgage Calculator'!$S$12/12))&gt;R243,"stop",(H243+I242)*(1+('Mortgage Calculator'!$S$12/12))),"")</f>
        <v/>
      </c>
      <c r="M243" s="83" t="str">
        <f t="shared" si="21"/>
        <v/>
      </c>
      <c r="N243" s="83"/>
      <c r="O243" s="105" t="str">
        <f>IFERROR(M243/M243*'Mortgage Calculator'!$U$28,"")</f>
        <v/>
      </c>
      <c r="P243" s="105" t="str">
        <f>IFERROR(M243/M243*R242*'Mortgage Calculator'!$C$13/12,"")</f>
        <v/>
      </c>
      <c r="Q243" s="105" t="str">
        <f t="shared" si="22"/>
        <v/>
      </c>
      <c r="R243" s="105" t="str">
        <f t="shared" si="23"/>
        <v/>
      </c>
    </row>
    <row r="244" spans="3:18" x14ac:dyDescent="0.3">
      <c r="C244" s="1" t="e">
        <f t="shared" si="19"/>
        <v>#VALUE!</v>
      </c>
      <c r="D244" s="1" t="str">
        <f t="shared" si="18"/>
        <v/>
      </c>
      <c r="F244" s="52" t="e">
        <f>'Mortgage Calculator'!$G$9*((1+'Mortgage Calculator'!$P$8)^(MISC!C244-1))</f>
        <v>#VALUE!</v>
      </c>
      <c r="G244" s="70" t="e">
        <f>'Mortgage Calculator'!$U$25*((1+'Mortgage Calculator'!$S$10)^(MISC!C244-1))</f>
        <v>#VALUE!</v>
      </c>
      <c r="H244" s="52" t="e">
        <f t="shared" si="20"/>
        <v>#VALUE!</v>
      </c>
      <c r="I244" s="69" t="str">
        <f>IFERROR(IF((H244+I243)*(1+('Mortgage Calculator'!$S$12/12))&gt;R244,"stop",(H244+I243)*(1+('Mortgage Calculator'!$S$12/12))),"")</f>
        <v/>
      </c>
      <c r="M244" s="83" t="str">
        <f t="shared" si="21"/>
        <v/>
      </c>
      <c r="N244" s="83"/>
      <c r="O244" s="105" t="str">
        <f>IFERROR(M244/M244*'Mortgage Calculator'!$U$28,"")</f>
        <v/>
      </c>
      <c r="P244" s="105" t="str">
        <f>IFERROR(M244/M244*R243*'Mortgage Calculator'!$C$13/12,"")</f>
        <v/>
      </c>
      <c r="Q244" s="105" t="str">
        <f t="shared" si="22"/>
        <v/>
      </c>
      <c r="R244" s="105" t="str">
        <f t="shared" si="23"/>
        <v/>
      </c>
    </row>
    <row r="245" spans="3:18" x14ac:dyDescent="0.3">
      <c r="C245" s="1" t="e">
        <f t="shared" si="19"/>
        <v>#VALUE!</v>
      </c>
      <c r="D245" s="1" t="str">
        <f t="shared" si="18"/>
        <v/>
      </c>
      <c r="F245" s="52" t="e">
        <f>'Mortgage Calculator'!$G$9*((1+'Mortgage Calculator'!$P$8)^(MISC!C245-1))</f>
        <v>#VALUE!</v>
      </c>
      <c r="G245" s="70" t="e">
        <f>'Mortgage Calculator'!$U$25*((1+'Mortgage Calculator'!$S$10)^(MISC!C245-1))</f>
        <v>#VALUE!</v>
      </c>
      <c r="H245" s="52" t="e">
        <f t="shared" si="20"/>
        <v>#VALUE!</v>
      </c>
      <c r="I245" s="69" t="str">
        <f>IFERROR(IF((H245+I244)*(1+('Mortgage Calculator'!$S$12/12))&gt;R245,"stop",(H245+I244)*(1+('Mortgage Calculator'!$S$12/12))),"")</f>
        <v/>
      </c>
      <c r="M245" s="83" t="str">
        <f t="shared" si="21"/>
        <v/>
      </c>
      <c r="N245" s="83"/>
      <c r="O245" s="105" t="str">
        <f>IFERROR(M245/M245*'Mortgage Calculator'!$U$28,"")</f>
        <v/>
      </c>
      <c r="P245" s="105" t="str">
        <f>IFERROR(M245/M245*R244*'Mortgage Calculator'!$C$13/12,"")</f>
        <v/>
      </c>
      <c r="Q245" s="105" t="str">
        <f t="shared" si="22"/>
        <v/>
      </c>
      <c r="R245" s="105" t="str">
        <f t="shared" si="23"/>
        <v/>
      </c>
    </row>
    <row r="246" spans="3:18" x14ac:dyDescent="0.3">
      <c r="C246" s="1" t="e">
        <f t="shared" si="19"/>
        <v>#VALUE!</v>
      </c>
      <c r="D246" s="1" t="str">
        <f t="shared" si="18"/>
        <v/>
      </c>
      <c r="F246" s="52" t="e">
        <f>'Mortgage Calculator'!$G$9*((1+'Mortgage Calculator'!$P$8)^(MISC!C246-1))</f>
        <v>#VALUE!</v>
      </c>
      <c r="G246" s="70" t="e">
        <f>'Mortgage Calculator'!$U$25*((1+'Mortgage Calculator'!$S$10)^(MISC!C246-1))</f>
        <v>#VALUE!</v>
      </c>
      <c r="H246" s="52" t="e">
        <f t="shared" si="20"/>
        <v>#VALUE!</v>
      </c>
      <c r="I246" s="69" t="str">
        <f>IFERROR(IF((H246+I245)*(1+('Mortgage Calculator'!$S$12/12))&gt;R246,"stop",(H246+I245)*(1+('Mortgage Calculator'!$S$12/12))),"")</f>
        <v/>
      </c>
      <c r="M246" s="83" t="str">
        <f t="shared" si="21"/>
        <v/>
      </c>
      <c r="N246" s="83"/>
      <c r="O246" s="105" t="str">
        <f>IFERROR(M246/M246*'Mortgage Calculator'!$U$28,"")</f>
        <v/>
      </c>
      <c r="P246" s="105" t="str">
        <f>IFERROR(M246/M246*R245*'Mortgage Calculator'!$C$13/12,"")</f>
        <v/>
      </c>
      <c r="Q246" s="105" t="str">
        <f t="shared" si="22"/>
        <v/>
      </c>
      <c r="R246" s="105" t="str">
        <f t="shared" si="23"/>
        <v/>
      </c>
    </row>
    <row r="247" spans="3:18" x14ac:dyDescent="0.3">
      <c r="C247" s="1" t="e">
        <f t="shared" si="19"/>
        <v>#VALUE!</v>
      </c>
      <c r="D247" s="1" t="str">
        <f t="shared" si="18"/>
        <v/>
      </c>
      <c r="F247" s="52" t="e">
        <f>'Mortgage Calculator'!$G$9*((1+'Mortgage Calculator'!$P$8)^(MISC!C247-1))</f>
        <v>#VALUE!</v>
      </c>
      <c r="G247" s="70" t="e">
        <f>'Mortgage Calculator'!$U$25*((1+'Mortgage Calculator'!$S$10)^(MISC!C247-1))</f>
        <v>#VALUE!</v>
      </c>
      <c r="H247" s="52" t="e">
        <f t="shared" si="20"/>
        <v>#VALUE!</v>
      </c>
      <c r="I247" s="69" t="str">
        <f>IFERROR(IF((H247+I246)*(1+('Mortgage Calculator'!$S$12/12))&gt;R247,"stop",(H247+I246)*(1+('Mortgage Calculator'!$S$12/12))),"")</f>
        <v/>
      </c>
      <c r="M247" s="83" t="str">
        <f t="shared" si="21"/>
        <v/>
      </c>
      <c r="N247" s="83"/>
      <c r="O247" s="105" t="str">
        <f>IFERROR(M247/M247*'Mortgage Calculator'!$U$28,"")</f>
        <v/>
      </c>
      <c r="P247" s="105" t="str">
        <f>IFERROR(M247/M247*R246*'Mortgage Calculator'!$C$13/12,"")</f>
        <v/>
      </c>
      <c r="Q247" s="105" t="str">
        <f t="shared" si="22"/>
        <v/>
      </c>
      <c r="R247" s="105" t="str">
        <f t="shared" si="23"/>
        <v/>
      </c>
    </row>
    <row r="248" spans="3:18" x14ac:dyDescent="0.3">
      <c r="C248" s="1" t="e">
        <f t="shared" si="19"/>
        <v>#VALUE!</v>
      </c>
      <c r="D248" s="1" t="str">
        <f t="shared" si="18"/>
        <v/>
      </c>
      <c r="F248" s="52" t="e">
        <f>'Mortgage Calculator'!$G$9*((1+'Mortgage Calculator'!$P$8)^(MISC!C248-1))</f>
        <v>#VALUE!</v>
      </c>
      <c r="G248" s="70" t="e">
        <f>'Mortgage Calculator'!$U$25*((1+'Mortgage Calculator'!$S$10)^(MISC!C248-1))</f>
        <v>#VALUE!</v>
      </c>
      <c r="H248" s="52" t="e">
        <f t="shared" si="20"/>
        <v>#VALUE!</v>
      </c>
      <c r="I248" s="69" t="str">
        <f>IFERROR(IF((H248+I247)*(1+('Mortgage Calculator'!$S$12/12))&gt;R248,"stop",(H248+I247)*(1+('Mortgage Calculator'!$S$12/12))),"")</f>
        <v/>
      </c>
      <c r="M248" s="83" t="str">
        <f t="shared" si="21"/>
        <v/>
      </c>
      <c r="N248" s="83"/>
      <c r="O248" s="105" t="str">
        <f>IFERROR(M248/M248*'Mortgage Calculator'!$U$28,"")</f>
        <v/>
      </c>
      <c r="P248" s="105" t="str">
        <f>IFERROR(M248/M248*R247*'Mortgage Calculator'!$C$13/12,"")</f>
        <v/>
      </c>
      <c r="Q248" s="105" t="str">
        <f t="shared" si="22"/>
        <v/>
      </c>
      <c r="R248" s="105" t="str">
        <f t="shared" si="23"/>
        <v/>
      </c>
    </row>
    <row r="249" spans="3:18" x14ac:dyDescent="0.3">
      <c r="C249" s="1" t="e">
        <f t="shared" si="19"/>
        <v>#VALUE!</v>
      </c>
      <c r="D249" s="1" t="str">
        <f t="shared" si="18"/>
        <v/>
      </c>
      <c r="F249" s="52" t="e">
        <f>'Mortgage Calculator'!$G$9*((1+'Mortgage Calculator'!$P$8)^(MISC!C249-1))</f>
        <v>#VALUE!</v>
      </c>
      <c r="G249" s="70" t="e">
        <f>'Mortgage Calculator'!$U$25*((1+'Mortgage Calculator'!$S$10)^(MISC!C249-1))</f>
        <v>#VALUE!</v>
      </c>
      <c r="H249" s="52" t="e">
        <f t="shared" si="20"/>
        <v>#VALUE!</v>
      </c>
      <c r="I249" s="69" t="str">
        <f>IFERROR(IF((H249+I248)*(1+('Mortgage Calculator'!$S$12/12))&gt;R249,"stop",(H249+I248)*(1+('Mortgage Calculator'!$S$12/12))),"")</f>
        <v/>
      </c>
      <c r="M249" s="83" t="str">
        <f t="shared" si="21"/>
        <v/>
      </c>
      <c r="N249" s="83"/>
      <c r="O249" s="105" t="str">
        <f>IFERROR(M249/M249*'Mortgage Calculator'!$U$28,"")</f>
        <v/>
      </c>
      <c r="P249" s="105" t="str">
        <f>IFERROR(M249/M249*R248*'Mortgage Calculator'!$C$13/12,"")</f>
        <v/>
      </c>
      <c r="Q249" s="105" t="str">
        <f t="shared" si="22"/>
        <v/>
      </c>
      <c r="R249" s="105" t="str">
        <f t="shared" si="23"/>
        <v/>
      </c>
    </row>
    <row r="250" spans="3:18" x14ac:dyDescent="0.3">
      <c r="C250" s="1" t="e">
        <f t="shared" si="19"/>
        <v>#VALUE!</v>
      </c>
      <c r="D250" s="1" t="str">
        <f t="shared" si="18"/>
        <v/>
      </c>
      <c r="F250" s="52" t="e">
        <f>'Mortgage Calculator'!$G$9*((1+'Mortgage Calculator'!$P$8)^(MISC!C250-1))</f>
        <v>#VALUE!</v>
      </c>
      <c r="G250" s="70" t="e">
        <f>'Mortgage Calculator'!$U$25*((1+'Mortgage Calculator'!$S$10)^(MISC!C250-1))</f>
        <v>#VALUE!</v>
      </c>
      <c r="H250" s="52" t="e">
        <f t="shared" si="20"/>
        <v>#VALUE!</v>
      </c>
      <c r="I250" s="69" t="str">
        <f>IFERROR(IF((H250+I249)*(1+('Mortgage Calculator'!$S$12/12))&gt;R250,"stop",(H250+I249)*(1+('Mortgage Calculator'!$S$12/12))),"")</f>
        <v/>
      </c>
      <c r="M250" s="83" t="str">
        <f t="shared" si="21"/>
        <v/>
      </c>
      <c r="N250" s="83"/>
      <c r="O250" s="105" t="str">
        <f>IFERROR(M250/M250*'Mortgage Calculator'!$U$28,"")</f>
        <v/>
      </c>
      <c r="P250" s="105" t="str">
        <f>IFERROR(M250/M250*R249*'Mortgage Calculator'!$C$13/12,"")</f>
        <v/>
      </c>
      <c r="Q250" s="105" t="str">
        <f t="shared" si="22"/>
        <v/>
      </c>
      <c r="R250" s="105" t="str">
        <f t="shared" si="23"/>
        <v/>
      </c>
    </row>
    <row r="251" spans="3:18" x14ac:dyDescent="0.3">
      <c r="C251" s="1" t="e">
        <f t="shared" si="19"/>
        <v>#VALUE!</v>
      </c>
      <c r="D251" s="1" t="str">
        <f t="shared" si="18"/>
        <v/>
      </c>
      <c r="F251" s="52" t="e">
        <f>'Mortgage Calculator'!$G$9*((1+'Mortgage Calculator'!$P$8)^(MISC!C251-1))</f>
        <v>#VALUE!</v>
      </c>
      <c r="G251" s="70" t="e">
        <f>'Mortgage Calculator'!$U$25*((1+'Mortgage Calculator'!$S$10)^(MISC!C251-1))</f>
        <v>#VALUE!</v>
      </c>
      <c r="H251" s="52" t="e">
        <f t="shared" si="20"/>
        <v>#VALUE!</v>
      </c>
      <c r="I251" s="69" t="str">
        <f>IFERROR(IF((H251+I250)*(1+('Mortgage Calculator'!$S$12/12))&gt;R251,"stop",(H251+I250)*(1+('Mortgage Calculator'!$S$12/12))),"")</f>
        <v/>
      </c>
      <c r="M251" s="83" t="str">
        <f t="shared" si="21"/>
        <v/>
      </c>
      <c r="N251" s="83"/>
      <c r="O251" s="105" t="str">
        <f>IFERROR(M251/M251*'Mortgage Calculator'!$U$28,"")</f>
        <v/>
      </c>
      <c r="P251" s="105" t="str">
        <f>IFERROR(M251/M251*R250*'Mortgage Calculator'!$C$13/12,"")</f>
        <v/>
      </c>
      <c r="Q251" s="105" t="str">
        <f t="shared" si="22"/>
        <v/>
      </c>
      <c r="R251" s="105" t="str">
        <f t="shared" si="23"/>
        <v/>
      </c>
    </row>
    <row r="252" spans="3:18" x14ac:dyDescent="0.3">
      <c r="C252" s="1" t="e">
        <f t="shared" si="19"/>
        <v>#VALUE!</v>
      </c>
      <c r="D252" s="1" t="str">
        <f t="shared" si="18"/>
        <v/>
      </c>
      <c r="F252" s="52" t="e">
        <f>'Mortgage Calculator'!$G$9*((1+'Mortgage Calculator'!$P$8)^(MISC!C252-1))</f>
        <v>#VALUE!</v>
      </c>
      <c r="G252" s="70" t="e">
        <f>'Mortgage Calculator'!$U$25*((1+'Mortgage Calculator'!$S$10)^(MISC!C252-1))</f>
        <v>#VALUE!</v>
      </c>
      <c r="H252" s="52" t="e">
        <f t="shared" si="20"/>
        <v>#VALUE!</v>
      </c>
      <c r="I252" s="69" t="str">
        <f>IFERROR(IF((H252+I251)*(1+('Mortgage Calculator'!$S$12/12))&gt;R252,"stop",(H252+I251)*(1+('Mortgage Calculator'!$S$12/12))),"")</f>
        <v/>
      </c>
      <c r="M252" s="83" t="str">
        <f t="shared" si="21"/>
        <v/>
      </c>
      <c r="N252" s="83"/>
      <c r="O252" s="105" t="str">
        <f>IFERROR(M252/M252*'Mortgage Calculator'!$U$28,"")</f>
        <v/>
      </c>
      <c r="P252" s="105" t="str">
        <f>IFERROR(M252/M252*R251*'Mortgage Calculator'!$C$13/12,"")</f>
        <v/>
      </c>
      <c r="Q252" s="105" t="str">
        <f t="shared" si="22"/>
        <v/>
      </c>
      <c r="R252" s="105" t="str">
        <f t="shared" si="23"/>
        <v/>
      </c>
    </row>
    <row r="253" spans="3:18" x14ac:dyDescent="0.3">
      <c r="C253" s="1" t="e">
        <f t="shared" si="19"/>
        <v>#VALUE!</v>
      </c>
      <c r="D253" s="1" t="str">
        <f t="shared" si="18"/>
        <v/>
      </c>
      <c r="F253" s="52" t="e">
        <f>'Mortgage Calculator'!$G$9*((1+'Mortgage Calculator'!$P$8)^(MISC!C253-1))</f>
        <v>#VALUE!</v>
      </c>
      <c r="G253" s="70" t="e">
        <f>'Mortgage Calculator'!$U$25*((1+'Mortgage Calculator'!$S$10)^(MISC!C253-1))</f>
        <v>#VALUE!</v>
      </c>
      <c r="H253" s="52" t="e">
        <f t="shared" si="20"/>
        <v>#VALUE!</v>
      </c>
      <c r="I253" s="69" t="str">
        <f>IFERROR(IF((H253+I252)*(1+('Mortgage Calculator'!$S$12/12))&gt;R253,"stop",(H253+I252)*(1+('Mortgage Calculator'!$S$12/12))),"")</f>
        <v/>
      </c>
      <c r="M253" s="83" t="str">
        <f t="shared" si="21"/>
        <v/>
      </c>
      <c r="N253" s="83"/>
      <c r="O253" s="105" t="str">
        <f>IFERROR(M253/M253*'Mortgage Calculator'!$U$28,"")</f>
        <v/>
      </c>
      <c r="P253" s="105" t="str">
        <f>IFERROR(M253/M253*R252*'Mortgage Calculator'!$C$13/12,"")</f>
        <v/>
      </c>
      <c r="Q253" s="105" t="str">
        <f t="shared" si="22"/>
        <v/>
      </c>
      <c r="R253" s="105" t="str">
        <f t="shared" si="23"/>
        <v/>
      </c>
    </row>
    <row r="254" spans="3:18" x14ac:dyDescent="0.3">
      <c r="C254" s="1" t="e">
        <f t="shared" si="19"/>
        <v>#VALUE!</v>
      </c>
      <c r="D254" s="1" t="str">
        <f t="shared" si="18"/>
        <v/>
      </c>
      <c r="F254" s="52" t="e">
        <f>'Mortgage Calculator'!$G$9*((1+'Mortgage Calculator'!$P$8)^(MISC!C254-1))</f>
        <v>#VALUE!</v>
      </c>
      <c r="G254" s="70" t="e">
        <f>'Mortgage Calculator'!$U$25*((1+'Mortgage Calculator'!$S$10)^(MISC!C254-1))</f>
        <v>#VALUE!</v>
      </c>
      <c r="H254" s="52" t="e">
        <f t="shared" si="20"/>
        <v>#VALUE!</v>
      </c>
      <c r="I254" s="69" t="str">
        <f>IFERROR(IF((H254+I253)*(1+('Mortgage Calculator'!$S$12/12))&gt;R254,"stop",(H254+I253)*(1+('Mortgage Calculator'!$S$12/12))),"")</f>
        <v/>
      </c>
      <c r="M254" s="83" t="str">
        <f t="shared" si="21"/>
        <v/>
      </c>
      <c r="N254" s="83"/>
      <c r="O254" s="105" t="str">
        <f>IFERROR(M254/M254*'Mortgage Calculator'!$U$28,"")</f>
        <v/>
      </c>
      <c r="P254" s="105" t="str">
        <f>IFERROR(M254/M254*R253*'Mortgage Calculator'!$C$13/12,"")</f>
        <v/>
      </c>
      <c r="Q254" s="105" t="str">
        <f t="shared" si="22"/>
        <v/>
      </c>
      <c r="R254" s="105" t="str">
        <f t="shared" si="23"/>
        <v/>
      </c>
    </row>
    <row r="255" spans="3:18" x14ac:dyDescent="0.3">
      <c r="C255" s="1" t="e">
        <f t="shared" si="19"/>
        <v>#VALUE!</v>
      </c>
      <c r="D255" s="1" t="str">
        <f t="shared" si="18"/>
        <v/>
      </c>
      <c r="F255" s="52" t="e">
        <f>'Mortgage Calculator'!$G$9*((1+'Mortgage Calculator'!$P$8)^(MISC!C255-1))</f>
        <v>#VALUE!</v>
      </c>
      <c r="G255" s="70" t="e">
        <f>'Mortgage Calculator'!$U$25*((1+'Mortgage Calculator'!$S$10)^(MISC!C255-1))</f>
        <v>#VALUE!</v>
      </c>
      <c r="H255" s="52" t="e">
        <f t="shared" si="20"/>
        <v>#VALUE!</v>
      </c>
      <c r="I255" s="69" t="str">
        <f>IFERROR(IF((H255+I254)*(1+('Mortgage Calculator'!$S$12/12))&gt;R255,"stop",(H255+I254)*(1+('Mortgage Calculator'!$S$12/12))),"")</f>
        <v/>
      </c>
      <c r="M255" s="83" t="str">
        <f t="shared" si="21"/>
        <v/>
      </c>
      <c r="N255" s="83"/>
      <c r="O255" s="105" t="str">
        <f>IFERROR(M255/M255*'Mortgage Calculator'!$U$28,"")</f>
        <v/>
      </c>
      <c r="P255" s="105" t="str">
        <f>IFERROR(M255/M255*R254*'Mortgage Calculator'!$C$13/12,"")</f>
        <v/>
      </c>
      <c r="Q255" s="105" t="str">
        <f t="shared" si="22"/>
        <v/>
      </c>
      <c r="R255" s="105" t="str">
        <f t="shared" si="23"/>
        <v/>
      </c>
    </row>
    <row r="256" spans="3:18" x14ac:dyDescent="0.3">
      <c r="C256" s="1" t="e">
        <f t="shared" si="19"/>
        <v>#VALUE!</v>
      </c>
      <c r="D256" s="1" t="str">
        <f t="shared" si="18"/>
        <v/>
      </c>
      <c r="F256" s="52" t="e">
        <f>'Mortgage Calculator'!$G$9*((1+'Mortgage Calculator'!$P$8)^(MISC!C256-1))</f>
        <v>#VALUE!</v>
      </c>
      <c r="G256" s="70" t="e">
        <f>'Mortgage Calculator'!$U$25*((1+'Mortgage Calculator'!$S$10)^(MISC!C256-1))</f>
        <v>#VALUE!</v>
      </c>
      <c r="H256" s="52" t="e">
        <f t="shared" si="20"/>
        <v>#VALUE!</v>
      </c>
      <c r="I256" s="69" t="str">
        <f>IFERROR(IF((H256+I255)*(1+('Mortgage Calculator'!$S$12/12))&gt;R256,"stop",(H256+I255)*(1+('Mortgage Calculator'!$S$12/12))),"")</f>
        <v/>
      </c>
      <c r="M256" s="83" t="str">
        <f t="shared" si="21"/>
        <v/>
      </c>
      <c r="N256" s="83"/>
      <c r="O256" s="105" t="str">
        <f>IFERROR(M256/M256*'Mortgage Calculator'!$U$28,"")</f>
        <v/>
      </c>
      <c r="P256" s="105" t="str">
        <f>IFERROR(M256/M256*R255*'Mortgage Calculator'!$C$13/12,"")</f>
        <v/>
      </c>
      <c r="Q256" s="105" t="str">
        <f t="shared" si="22"/>
        <v/>
      </c>
      <c r="R256" s="105" t="str">
        <f t="shared" si="23"/>
        <v/>
      </c>
    </row>
    <row r="257" spans="3:18" x14ac:dyDescent="0.3">
      <c r="C257" s="1" t="e">
        <f t="shared" si="19"/>
        <v>#VALUE!</v>
      </c>
      <c r="D257" s="1" t="str">
        <f t="shared" si="18"/>
        <v/>
      </c>
      <c r="F257" s="52" t="e">
        <f>'Mortgage Calculator'!$G$9*((1+'Mortgage Calculator'!$P$8)^(MISC!C257-1))</f>
        <v>#VALUE!</v>
      </c>
      <c r="G257" s="70" t="e">
        <f>'Mortgage Calculator'!$U$25*((1+'Mortgage Calculator'!$S$10)^(MISC!C257-1))</f>
        <v>#VALUE!</v>
      </c>
      <c r="H257" s="52" t="e">
        <f t="shared" si="20"/>
        <v>#VALUE!</v>
      </c>
      <c r="I257" s="69" t="str">
        <f>IFERROR(IF((H257+I256)*(1+('Mortgage Calculator'!$S$12/12))&gt;R257,"stop",(H257+I256)*(1+('Mortgage Calculator'!$S$12/12))),"")</f>
        <v/>
      </c>
      <c r="M257" s="83" t="str">
        <f t="shared" si="21"/>
        <v/>
      </c>
      <c r="N257" s="83"/>
      <c r="O257" s="105" t="str">
        <f>IFERROR(M257/M257*'Mortgage Calculator'!$U$28,"")</f>
        <v/>
      </c>
      <c r="P257" s="105" t="str">
        <f>IFERROR(M257/M257*R256*'Mortgage Calculator'!$C$13/12,"")</f>
        <v/>
      </c>
      <c r="Q257" s="105" t="str">
        <f t="shared" si="22"/>
        <v/>
      </c>
      <c r="R257" s="105" t="str">
        <f t="shared" si="23"/>
        <v/>
      </c>
    </row>
    <row r="258" spans="3:18" x14ac:dyDescent="0.3">
      <c r="C258" s="1" t="e">
        <f t="shared" si="19"/>
        <v>#VALUE!</v>
      </c>
      <c r="D258" s="1" t="str">
        <f t="shared" si="18"/>
        <v/>
      </c>
      <c r="F258" s="52" t="e">
        <f>'Mortgage Calculator'!$G$9*((1+'Mortgage Calculator'!$P$8)^(MISC!C258-1))</f>
        <v>#VALUE!</v>
      </c>
      <c r="G258" s="70" t="e">
        <f>'Mortgage Calculator'!$U$25*((1+'Mortgage Calculator'!$S$10)^(MISC!C258-1))</f>
        <v>#VALUE!</v>
      </c>
      <c r="H258" s="52" t="e">
        <f t="shared" si="20"/>
        <v>#VALUE!</v>
      </c>
      <c r="I258" s="69" t="str">
        <f>IFERROR(IF((H258+I257)*(1+('Mortgage Calculator'!$S$12/12))&gt;R258,"stop",(H258+I257)*(1+('Mortgage Calculator'!$S$12/12))),"")</f>
        <v/>
      </c>
      <c r="M258" s="83" t="str">
        <f t="shared" si="21"/>
        <v/>
      </c>
      <c r="N258" s="83"/>
      <c r="O258" s="105" t="str">
        <f>IFERROR(M258/M258*'Mortgage Calculator'!$U$28,"")</f>
        <v/>
      </c>
      <c r="P258" s="105" t="str">
        <f>IFERROR(M258/M258*R257*'Mortgage Calculator'!$C$13/12,"")</f>
        <v/>
      </c>
      <c r="Q258" s="105" t="str">
        <f t="shared" si="22"/>
        <v/>
      </c>
      <c r="R258" s="105" t="str">
        <f t="shared" si="23"/>
        <v/>
      </c>
    </row>
    <row r="259" spans="3:18" x14ac:dyDescent="0.3">
      <c r="C259" s="1" t="e">
        <f t="shared" si="19"/>
        <v>#VALUE!</v>
      </c>
      <c r="D259" s="1" t="str">
        <f t="shared" si="18"/>
        <v/>
      </c>
      <c r="F259" s="52" t="e">
        <f>'Mortgage Calculator'!$G$9*((1+'Mortgage Calculator'!$P$8)^(MISC!C259-1))</f>
        <v>#VALUE!</v>
      </c>
      <c r="G259" s="70" t="e">
        <f>'Mortgage Calculator'!$U$25*((1+'Mortgage Calculator'!$S$10)^(MISC!C259-1))</f>
        <v>#VALUE!</v>
      </c>
      <c r="H259" s="52" t="e">
        <f t="shared" si="20"/>
        <v>#VALUE!</v>
      </c>
      <c r="I259" s="69" t="str">
        <f>IFERROR(IF((H259+I258)*(1+('Mortgage Calculator'!$S$12/12))&gt;R259,"stop",(H259+I258)*(1+('Mortgage Calculator'!$S$12/12))),"")</f>
        <v/>
      </c>
      <c r="M259" s="83" t="str">
        <f t="shared" si="21"/>
        <v/>
      </c>
      <c r="N259" s="83"/>
      <c r="O259" s="105" t="str">
        <f>IFERROR(M259/M259*'Mortgage Calculator'!$U$28,"")</f>
        <v/>
      </c>
      <c r="P259" s="105" t="str">
        <f>IFERROR(M259/M259*R258*'Mortgage Calculator'!$C$13/12,"")</f>
        <v/>
      </c>
      <c r="Q259" s="105" t="str">
        <f t="shared" si="22"/>
        <v/>
      </c>
      <c r="R259" s="105" t="str">
        <f t="shared" si="23"/>
        <v/>
      </c>
    </row>
    <row r="260" spans="3:18" x14ac:dyDescent="0.3">
      <c r="C260" s="1" t="e">
        <f t="shared" si="19"/>
        <v>#VALUE!</v>
      </c>
      <c r="D260" s="1" t="str">
        <f t="shared" si="18"/>
        <v/>
      </c>
      <c r="F260" s="52" t="e">
        <f>'Mortgage Calculator'!$G$9*((1+'Mortgage Calculator'!$P$8)^(MISC!C260-1))</f>
        <v>#VALUE!</v>
      </c>
      <c r="G260" s="70" t="e">
        <f>'Mortgage Calculator'!$U$25*((1+'Mortgage Calculator'!$S$10)^(MISC!C260-1))</f>
        <v>#VALUE!</v>
      </c>
      <c r="H260" s="52" t="e">
        <f t="shared" si="20"/>
        <v>#VALUE!</v>
      </c>
      <c r="I260" s="69" t="str">
        <f>IFERROR(IF((H260+I259)*(1+('Mortgage Calculator'!$S$12/12))&gt;R260,"stop",(H260+I259)*(1+('Mortgage Calculator'!$S$12/12))),"")</f>
        <v/>
      </c>
      <c r="M260" s="83" t="str">
        <f t="shared" si="21"/>
        <v/>
      </c>
      <c r="N260" s="83"/>
      <c r="O260" s="105" t="str">
        <f>IFERROR(M260/M260*'Mortgage Calculator'!$U$28,"")</f>
        <v/>
      </c>
      <c r="P260" s="105" t="str">
        <f>IFERROR(M260/M260*R259*'Mortgage Calculator'!$C$13/12,"")</f>
        <v/>
      </c>
      <c r="Q260" s="105" t="str">
        <f t="shared" si="22"/>
        <v/>
      </c>
      <c r="R260" s="105" t="str">
        <f t="shared" si="23"/>
        <v/>
      </c>
    </row>
    <row r="261" spans="3:18" x14ac:dyDescent="0.3">
      <c r="C261" s="1" t="e">
        <f t="shared" si="19"/>
        <v>#VALUE!</v>
      </c>
      <c r="D261" s="1" t="str">
        <f t="shared" si="18"/>
        <v/>
      </c>
      <c r="F261" s="52" t="e">
        <f>'Mortgage Calculator'!$G$9*((1+'Mortgage Calculator'!$P$8)^(MISC!C261-1))</f>
        <v>#VALUE!</v>
      </c>
      <c r="G261" s="70" t="e">
        <f>'Mortgage Calculator'!$U$25*((1+'Mortgage Calculator'!$S$10)^(MISC!C261-1))</f>
        <v>#VALUE!</v>
      </c>
      <c r="H261" s="52" t="e">
        <f t="shared" si="20"/>
        <v>#VALUE!</v>
      </c>
      <c r="I261" s="69" t="str">
        <f>IFERROR(IF((H261+I260)*(1+('Mortgage Calculator'!$S$12/12))&gt;R261,"stop",(H261+I260)*(1+('Mortgage Calculator'!$S$12/12))),"")</f>
        <v/>
      </c>
      <c r="M261" s="83" t="str">
        <f t="shared" si="21"/>
        <v/>
      </c>
      <c r="N261" s="83"/>
      <c r="O261" s="105" t="str">
        <f>IFERROR(M261/M261*'Mortgage Calculator'!$U$28,"")</f>
        <v/>
      </c>
      <c r="P261" s="105" t="str">
        <f>IFERROR(M261/M261*R260*'Mortgage Calculator'!$C$13/12,"")</f>
        <v/>
      </c>
      <c r="Q261" s="105" t="str">
        <f t="shared" si="22"/>
        <v/>
      </c>
      <c r="R261" s="105" t="str">
        <f t="shared" si="23"/>
        <v/>
      </c>
    </row>
    <row r="262" spans="3:18" x14ac:dyDescent="0.3">
      <c r="C262" s="1" t="e">
        <f t="shared" si="19"/>
        <v>#VALUE!</v>
      </c>
      <c r="D262" s="1" t="str">
        <f t="shared" si="18"/>
        <v/>
      </c>
      <c r="F262" s="52" t="e">
        <f>'Mortgage Calculator'!$G$9*((1+'Mortgage Calculator'!$P$8)^(MISC!C262-1))</f>
        <v>#VALUE!</v>
      </c>
      <c r="G262" s="70" t="e">
        <f>'Mortgage Calculator'!$U$25*((1+'Mortgage Calculator'!$S$10)^(MISC!C262-1))</f>
        <v>#VALUE!</v>
      </c>
      <c r="H262" s="52" t="e">
        <f t="shared" si="20"/>
        <v>#VALUE!</v>
      </c>
      <c r="I262" s="69" t="str">
        <f>IFERROR(IF((H262+I261)*(1+('Mortgage Calculator'!$S$12/12))&gt;R262,"stop",(H262+I261)*(1+('Mortgage Calculator'!$S$12/12))),"")</f>
        <v/>
      </c>
      <c r="M262" s="83" t="str">
        <f t="shared" si="21"/>
        <v/>
      </c>
      <c r="N262" s="83"/>
      <c r="O262" s="105" t="str">
        <f>IFERROR(M262/M262*'Mortgage Calculator'!$U$28,"")</f>
        <v/>
      </c>
      <c r="P262" s="105" t="str">
        <f>IFERROR(M262/M262*R261*'Mortgage Calculator'!$C$13/12,"")</f>
        <v/>
      </c>
      <c r="Q262" s="105" t="str">
        <f t="shared" si="22"/>
        <v/>
      </c>
      <c r="R262" s="105" t="str">
        <f t="shared" si="23"/>
        <v/>
      </c>
    </row>
    <row r="263" spans="3:18" x14ac:dyDescent="0.3">
      <c r="C263" s="1" t="e">
        <f t="shared" si="19"/>
        <v>#VALUE!</v>
      </c>
      <c r="D263" s="1" t="str">
        <f t="shared" si="18"/>
        <v/>
      </c>
      <c r="F263" s="52" t="e">
        <f>'Mortgage Calculator'!$G$9*((1+'Mortgage Calculator'!$P$8)^(MISC!C263-1))</f>
        <v>#VALUE!</v>
      </c>
      <c r="G263" s="70" t="e">
        <f>'Mortgage Calculator'!$U$25*((1+'Mortgage Calculator'!$S$10)^(MISC!C263-1))</f>
        <v>#VALUE!</v>
      </c>
      <c r="H263" s="52" t="e">
        <f t="shared" si="20"/>
        <v>#VALUE!</v>
      </c>
      <c r="I263" s="69" t="str">
        <f>IFERROR(IF((H263+I262)*(1+('Mortgage Calculator'!$S$12/12))&gt;R263,"stop",(H263+I262)*(1+('Mortgage Calculator'!$S$12/12))),"")</f>
        <v/>
      </c>
      <c r="M263" s="83" t="str">
        <f t="shared" si="21"/>
        <v/>
      </c>
      <c r="N263" s="83"/>
      <c r="O263" s="105" t="str">
        <f>IFERROR(M263/M263*'Mortgage Calculator'!$U$28,"")</f>
        <v/>
      </c>
      <c r="P263" s="105" t="str">
        <f>IFERROR(M263/M263*R262*'Mortgage Calculator'!$C$13/12,"")</f>
        <v/>
      </c>
      <c r="Q263" s="105" t="str">
        <f t="shared" si="22"/>
        <v/>
      </c>
      <c r="R263" s="105" t="str">
        <f t="shared" si="23"/>
        <v/>
      </c>
    </row>
    <row r="264" spans="3:18" x14ac:dyDescent="0.3">
      <c r="C264" s="1" t="e">
        <f t="shared" si="19"/>
        <v>#VALUE!</v>
      </c>
      <c r="D264" s="1" t="str">
        <f t="shared" si="18"/>
        <v/>
      </c>
      <c r="F264" s="52" t="e">
        <f>'Mortgage Calculator'!$G$9*((1+'Mortgage Calculator'!$P$8)^(MISC!C264-1))</f>
        <v>#VALUE!</v>
      </c>
      <c r="G264" s="70" t="e">
        <f>'Mortgage Calculator'!$U$25*((1+'Mortgage Calculator'!$S$10)^(MISC!C264-1))</f>
        <v>#VALUE!</v>
      </c>
      <c r="H264" s="52" t="e">
        <f t="shared" si="20"/>
        <v>#VALUE!</v>
      </c>
      <c r="I264" s="69" t="str">
        <f>IFERROR(IF((H264+I263)*(1+('Mortgage Calculator'!$S$12/12))&gt;R264,"stop",(H264+I263)*(1+('Mortgage Calculator'!$S$12/12))),"")</f>
        <v/>
      </c>
      <c r="M264" s="83" t="str">
        <f t="shared" si="21"/>
        <v/>
      </c>
      <c r="N264" s="83"/>
      <c r="O264" s="105" t="str">
        <f>IFERROR(M264/M264*'Mortgage Calculator'!$U$28,"")</f>
        <v/>
      </c>
      <c r="P264" s="105" t="str">
        <f>IFERROR(M264/M264*R263*'Mortgage Calculator'!$C$13/12,"")</f>
        <v/>
      </c>
      <c r="Q264" s="105" t="str">
        <f t="shared" si="22"/>
        <v/>
      </c>
      <c r="R264" s="105" t="str">
        <f t="shared" si="23"/>
        <v/>
      </c>
    </row>
    <row r="265" spans="3:18" x14ac:dyDescent="0.3">
      <c r="C265" s="1" t="e">
        <f t="shared" si="19"/>
        <v>#VALUE!</v>
      </c>
      <c r="D265" s="1" t="str">
        <f t="shared" si="18"/>
        <v/>
      </c>
      <c r="F265" s="52" t="e">
        <f>'Mortgage Calculator'!$G$9*((1+'Mortgage Calculator'!$P$8)^(MISC!C265-1))</f>
        <v>#VALUE!</v>
      </c>
      <c r="G265" s="70" t="e">
        <f>'Mortgage Calculator'!$U$25*((1+'Mortgage Calculator'!$S$10)^(MISC!C265-1))</f>
        <v>#VALUE!</v>
      </c>
      <c r="H265" s="52" t="e">
        <f t="shared" si="20"/>
        <v>#VALUE!</v>
      </c>
      <c r="I265" s="69" t="str">
        <f>IFERROR(IF((H265+I264)*(1+('Mortgage Calculator'!$S$12/12))&gt;R265,"stop",(H265+I264)*(1+('Mortgage Calculator'!$S$12/12))),"")</f>
        <v/>
      </c>
      <c r="M265" s="83" t="str">
        <f t="shared" si="21"/>
        <v/>
      </c>
      <c r="N265" s="83"/>
      <c r="O265" s="105" t="str">
        <f>IFERROR(M265/M265*'Mortgage Calculator'!$U$28,"")</f>
        <v/>
      </c>
      <c r="P265" s="105" t="str">
        <f>IFERROR(M265/M265*R264*'Mortgage Calculator'!$C$13/12,"")</f>
        <v/>
      </c>
      <c r="Q265" s="105" t="str">
        <f t="shared" si="22"/>
        <v/>
      </c>
      <c r="R265" s="105" t="str">
        <f t="shared" si="23"/>
        <v/>
      </c>
    </row>
    <row r="266" spans="3:18" x14ac:dyDescent="0.3">
      <c r="C266" s="1" t="e">
        <f t="shared" si="19"/>
        <v>#VALUE!</v>
      </c>
      <c r="D266" s="1" t="str">
        <f t="shared" ref="D266:D329" si="24">IF(E266="","",ROW()-9)</f>
        <v/>
      </c>
      <c r="F266" s="52" t="e">
        <f>'Mortgage Calculator'!$G$9*((1+'Mortgage Calculator'!$P$8)^(MISC!C266-1))</f>
        <v>#VALUE!</v>
      </c>
      <c r="G266" s="70" t="e">
        <f>'Mortgage Calculator'!$U$25*((1+'Mortgage Calculator'!$S$10)^(MISC!C266-1))</f>
        <v>#VALUE!</v>
      </c>
      <c r="H266" s="52" t="e">
        <f t="shared" si="20"/>
        <v>#VALUE!</v>
      </c>
      <c r="I266" s="69" t="str">
        <f>IFERROR(IF((H266+I265)*(1+('Mortgage Calculator'!$S$12/12))&gt;R266,"stop",(H266+I265)*(1+('Mortgage Calculator'!$S$12/12))),"")</f>
        <v/>
      </c>
      <c r="M266" s="83" t="str">
        <f t="shared" si="21"/>
        <v/>
      </c>
      <c r="N266" s="83"/>
      <c r="O266" s="105" t="str">
        <f>IFERROR(M266/M266*'Mortgage Calculator'!$U$28,"")</f>
        <v/>
      </c>
      <c r="P266" s="105" t="str">
        <f>IFERROR(M266/M266*R265*'Mortgage Calculator'!$C$13/12,"")</f>
        <v/>
      </c>
      <c r="Q266" s="105" t="str">
        <f t="shared" si="22"/>
        <v/>
      </c>
      <c r="R266" s="105" t="str">
        <f t="shared" si="23"/>
        <v/>
      </c>
    </row>
    <row r="267" spans="3:18" x14ac:dyDescent="0.3">
      <c r="C267" s="1" t="e">
        <f t="shared" ref="C267:C330" si="25">ROUNDUP(D267/12,0)</f>
        <v>#VALUE!</v>
      </c>
      <c r="D267" s="1" t="str">
        <f t="shared" si="24"/>
        <v/>
      </c>
      <c r="F267" s="52" t="e">
        <f>'Mortgage Calculator'!$G$9*((1+'Mortgage Calculator'!$P$8)^(MISC!C267-1))</f>
        <v>#VALUE!</v>
      </c>
      <c r="G267" s="70" t="e">
        <f>'Mortgage Calculator'!$U$25*((1+'Mortgage Calculator'!$S$10)^(MISC!C267-1))</f>
        <v>#VALUE!</v>
      </c>
      <c r="H267" s="52" t="e">
        <f t="shared" ref="H267:H330" si="26">F267-G267</f>
        <v>#VALUE!</v>
      </c>
      <c r="I267" s="69" t="str">
        <f>IFERROR(IF((H267+I266)*(1+('Mortgage Calculator'!$S$12/12))&gt;R267,"stop",(H267+I266)*(1+('Mortgage Calculator'!$S$12/12))),"")</f>
        <v/>
      </c>
      <c r="M267" s="83" t="str">
        <f t="shared" ref="M267:M330" si="27">IF(N267="","",ROW()-9)</f>
        <v/>
      </c>
      <c r="N267" s="83"/>
      <c r="O267" s="105" t="str">
        <f>IFERROR(M267/M267*'Mortgage Calculator'!$U$28,"")</f>
        <v/>
      </c>
      <c r="P267" s="105" t="str">
        <f>IFERROR(M267/M267*R266*'Mortgage Calculator'!$C$13/12,"")</f>
        <v/>
      </c>
      <c r="Q267" s="105" t="str">
        <f t="shared" ref="Q267:Q330" si="28">IFERROR(O267-P267,"")</f>
        <v/>
      </c>
      <c r="R267" s="105" t="str">
        <f t="shared" ref="R267:R330" si="29">IFERROR(R266-Q267,"")</f>
        <v/>
      </c>
    </row>
    <row r="268" spans="3:18" x14ac:dyDescent="0.3">
      <c r="C268" s="1" t="e">
        <f t="shared" si="25"/>
        <v>#VALUE!</v>
      </c>
      <c r="D268" s="1" t="str">
        <f t="shared" si="24"/>
        <v/>
      </c>
      <c r="F268" s="52" t="e">
        <f>'Mortgage Calculator'!$G$9*((1+'Mortgage Calculator'!$P$8)^(MISC!C268-1))</f>
        <v>#VALUE!</v>
      </c>
      <c r="G268" s="70" t="e">
        <f>'Mortgage Calculator'!$U$25*((1+'Mortgage Calculator'!$S$10)^(MISC!C268-1))</f>
        <v>#VALUE!</v>
      </c>
      <c r="H268" s="52" t="e">
        <f t="shared" si="26"/>
        <v>#VALUE!</v>
      </c>
      <c r="I268" s="69" t="str">
        <f>IFERROR(IF((H268+I267)*(1+('Mortgage Calculator'!$S$12/12))&gt;R268,"stop",(H268+I267)*(1+('Mortgage Calculator'!$S$12/12))),"")</f>
        <v/>
      </c>
      <c r="M268" s="83" t="str">
        <f t="shared" si="27"/>
        <v/>
      </c>
      <c r="N268" s="83"/>
      <c r="O268" s="105" t="str">
        <f>IFERROR(M268/M268*'Mortgage Calculator'!$U$28,"")</f>
        <v/>
      </c>
      <c r="P268" s="105" t="str">
        <f>IFERROR(M268/M268*R267*'Mortgage Calculator'!$C$13/12,"")</f>
        <v/>
      </c>
      <c r="Q268" s="105" t="str">
        <f t="shared" si="28"/>
        <v/>
      </c>
      <c r="R268" s="105" t="str">
        <f t="shared" si="29"/>
        <v/>
      </c>
    </row>
    <row r="269" spans="3:18" x14ac:dyDescent="0.3">
      <c r="C269" s="1" t="e">
        <f t="shared" si="25"/>
        <v>#VALUE!</v>
      </c>
      <c r="D269" s="1" t="str">
        <f t="shared" si="24"/>
        <v/>
      </c>
      <c r="F269" s="52" t="e">
        <f>'Mortgage Calculator'!$G$9*((1+'Mortgage Calculator'!$P$8)^(MISC!C269-1))</f>
        <v>#VALUE!</v>
      </c>
      <c r="G269" s="70" t="e">
        <f>'Mortgage Calculator'!$U$25*((1+'Mortgage Calculator'!$S$10)^(MISC!C269-1))</f>
        <v>#VALUE!</v>
      </c>
      <c r="H269" s="52" t="e">
        <f t="shared" si="26"/>
        <v>#VALUE!</v>
      </c>
      <c r="I269" s="69" t="str">
        <f>IFERROR(IF((H269+I268)*(1+('Mortgage Calculator'!$S$12/12))&gt;R269,"stop",(H269+I268)*(1+('Mortgage Calculator'!$S$12/12))),"")</f>
        <v/>
      </c>
      <c r="M269" s="83" t="str">
        <f t="shared" si="27"/>
        <v/>
      </c>
      <c r="N269" s="83"/>
      <c r="O269" s="105" t="str">
        <f>IFERROR(M269/M269*'Mortgage Calculator'!$U$28,"")</f>
        <v/>
      </c>
      <c r="P269" s="105" t="str">
        <f>IFERROR(M269/M269*R268*'Mortgage Calculator'!$C$13/12,"")</f>
        <v/>
      </c>
      <c r="Q269" s="105" t="str">
        <f t="shared" si="28"/>
        <v/>
      </c>
      <c r="R269" s="105" t="str">
        <f t="shared" si="29"/>
        <v/>
      </c>
    </row>
    <row r="270" spans="3:18" x14ac:dyDescent="0.3">
      <c r="C270" s="1" t="e">
        <f t="shared" si="25"/>
        <v>#VALUE!</v>
      </c>
      <c r="D270" s="1" t="str">
        <f t="shared" si="24"/>
        <v/>
      </c>
      <c r="F270" s="52" t="e">
        <f>'Mortgage Calculator'!$G$9*((1+'Mortgage Calculator'!$P$8)^(MISC!C270-1))</f>
        <v>#VALUE!</v>
      </c>
      <c r="G270" s="70" t="e">
        <f>'Mortgage Calculator'!$U$25*((1+'Mortgage Calculator'!$S$10)^(MISC!C270-1))</f>
        <v>#VALUE!</v>
      </c>
      <c r="H270" s="52" t="e">
        <f t="shared" si="26"/>
        <v>#VALUE!</v>
      </c>
      <c r="I270" s="69" t="str">
        <f>IFERROR(IF((H270+I269)*(1+('Mortgage Calculator'!$S$12/12))&gt;R270,"stop",(H270+I269)*(1+('Mortgage Calculator'!$S$12/12))),"")</f>
        <v/>
      </c>
      <c r="M270" s="83" t="str">
        <f t="shared" si="27"/>
        <v/>
      </c>
      <c r="N270" s="83"/>
      <c r="O270" s="105" t="str">
        <f>IFERROR(M270/M270*'Mortgage Calculator'!$U$28,"")</f>
        <v/>
      </c>
      <c r="P270" s="105" t="str">
        <f>IFERROR(M270/M270*R269*'Mortgage Calculator'!$C$13/12,"")</f>
        <v/>
      </c>
      <c r="Q270" s="105" t="str">
        <f t="shared" si="28"/>
        <v/>
      </c>
      <c r="R270" s="105" t="str">
        <f t="shared" si="29"/>
        <v/>
      </c>
    </row>
    <row r="271" spans="3:18" x14ac:dyDescent="0.3">
      <c r="C271" s="1" t="e">
        <f t="shared" si="25"/>
        <v>#VALUE!</v>
      </c>
      <c r="D271" s="1" t="str">
        <f t="shared" si="24"/>
        <v/>
      </c>
      <c r="F271" s="52" t="e">
        <f>'Mortgage Calculator'!$G$9*((1+'Mortgage Calculator'!$P$8)^(MISC!C271-1))</f>
        <v>#VALUE!</v>
      </c>
      <c r="G271" s="70" t="e">
        <f>'Mortgage Calculator'!$U$25*((1+'Mortgage Calculator'!$S$10)^(MISC!C271-1))</f>
        <v>#VALUE!</v>
      </c>
      <c r="H271" s="52" t="e">
        <f t="shared" si="26"/>
        <v>#VALUE!</v>
      </c>
      <c r="I271" s="69" t="str">
        <f>IFERROR(IF((H271+I270)*(1+('Mortgage Calculator'!$S$12/12))&gt;R271,"stop",(H271+I270)*(1+('Mortgage Calculator'!$S$12/12))),"")</f>
        <v/>
      </c>
      <c r="M271" s="83" t="str">
        <f t="shared" si="27"/>
        <v/>
      </c>
      <c r="N271" s="83"/>
      <c r="O271" s="105" t="str">
        <f>IFERROR(M271/M271*'Mortgage Calculator'!$U$28,"")</f>
        <v/>
      </c>
      <c r="P271" s="105" t="str">
        <f>IFERROR(M271/M271*R270*'Mortgage Calculator'!$C$13/12,"")</f>
        <v/>
      </c>
      <c r="Q271" s="105" t="str">
        <f t="shared" si="28"/>
        <v/>
      </c>
      <c r="R271" s="105" t="str">
        <f t="shared" si="29"/>
        <v/>
      </c>
    </row>
    <row r="272" spans="3:18" x14ac:dyDescent="0.3">
      <c r="C272" s="1" t="e">
        <f t="shared" si="25"/>
        <v>#VALUE!</v>
      </c>
      <c r="D272" s="1" t="str">
        <f t="shared" si="24"/>
        <v/>
      </c>
      <c r="F272" s="52" t="e">
        <f>'Mortgage Calculator'!$G$9*((1+'Mortgage Calculator'!$P$8)^(MISC!C272-1))</f>
        <v>#VALUE!</v>
      </c>
      <c r="G272" s="70" t="e">
        <f>'Mortgage Calculator'!$U$25*((1+'Mortgage Calculator'!$S$10)^(MISC!C272-1))</f>
        <v>#VALUE!</v>
      </c>
      <c r="H272" s="52" t="e">
        <f t="shared" si="26"/>
        <v>#VALUE!</v>
      </c>
      <c r="I272" s="69" t="str">
        <f>IFERROR(IF((H272+I271)*(1+('Mortgage Calculator'!$S$12/12))&gt;R272,"stop",(H272+I271)*(1+('Mortgage Calculator'!$S$12/12))),"")</f>
        <v/>
      </c>
      <c r="M272" s="83" t="str">
        <f t="shared" si="27"/>
        <v/>
      </c>
      <c r="N272" s="83"/>
      <c r="O272" s="105" t="str">
        <f>IFERROR(M272/M272*'Mortgage Calculator'!$U$28,"")</f>
        <v/>
      </c>
      <c r="P272" s="105" t="str">
        <f>IFERROR(M272/M272*R271*'Mortgage Calculator'!$C$13/12,"")</f>
        <v/>
      </c>
      <c r="Q272" s="105" t="str">
        <f t="shared" si="28"/>
        <v/>
      </c>
      <c r="R272" s="105" t="str">
        <f t="shared" si="29"/>
        <v/>
      </c>
    </row>
    <row r="273" spans="3:18" x14ac:dyDescent="0.3">
      <c r="C273" s="1" t="e">
        <f t="shared" si="25"/>
        <v>#VALUE!</v>
      </c>
      <c r="D273" s="1" t="str">
        <f t="shared" si="24"/>
        <v/>
      </c>
      <c r="F273" s="52" t="e">
        <f>'Mortgage Calculator'!$G$9*((1+'Mortgage Calculator'!$P$8)^(MISC!C273-1))</f>
        <v>#VALUE!</v>
      </c>
      <c r="G273" s="70" t="e">
        <f>'Mortgage Calculator'!$U$25*((1+'Mortgage Calculator'!$S$10)^(MISC!C273-1))</f>
        <v>#VALUE!</v>
      </c>
      <c r="H273" s="52" t="e">
        <f t="shared" si="26"/>
        <v>#VALUE!</v>
      </c>
      <c r="I273" s="69" t="str">
        <f>IFERROR(IF((H273+I272)*(1+('Mortgage Calculator'!$S$12/12))&gt;R273,"stop",(H273+I272)*(1+('Mortgage Calculator'!$S$12/12))),"")</f>
        <v/>
      </c>
      <c r="M273" s="83" t="str">
        <f t="shared" si="27"/>
        <v/>
      </c>
      <c r="N273" s="83"/>
      <c r="O273" s="105" t="str">
        <f>IFERROR(M273/M273*'Mortgage Calculator'!$U$28,"")</f>
        <v/>
      </c>
      <c r="P273" s="105" t="str">
        <f>IFERROR(M273/M273*R272*'Mortgage Calculator'!$C$13/12,"")</f>
        <v/>
      </c>
      <c r="Q273" s="105" t="str">
        <f t="shared" si="28"/>
        <v/>
      </c>
      <c r="R273" s="105" t="str">
        <f t="shared" si="29"/>
        <v/>
      </c>
    </row>
    <row r="274" spans="3:18" x14ac:dyDescent="0.3">
      <c r="C274" s="1" t="e">
        <f t="shared" si="25"/>
        <v>#VALUE!</v>
      </c>
      <c r="D274" s="1" t="str">
        <f t="shared" si="24"/>
        <v/>
      </c>
      <c r="F274" s="52" t="e">
        <f>'Mortgage Calculator'!$G$9*((1+'Mortgage Calculator'!$P$8)^(MISC!C274-1))</f>
        <v>#VALUE!</v>
      </c>
      <c r="G274" s="70" t="e">
        <f>'Mortgage Calculator'!$U$25*((1+'Mortgage Calculator'!$S$10)^(MISC!C274-1))</f>
        <v>#VALUE!</v>
      </c>
      <c r="H274" s="52" t="e">
        <f t="shared" si="26"/>
        <v>#VALUE!</v>
      </c>
      <c r="I274" s="69" t="str">
        <f>IFERROR(IF((H274+I273)*(1+('Mortgage Calculator'!$S$12/12))&gt;R274,"stop",(H274+I273)*(1+('Mortgage Calculator'!$S$12/12))),"")</f>
        <v/>
      </c>
      <c r="M274" s="83" t="str">
        <f t="shared" si="27"/>
        <v/>
      </c>
      <c r="N274" s="83"/>
      <c r="O274" s="105" t="str">
        <f>IFERROR(M274/M274*'Mortgage Calculator'!$U$28,"")</f>
        <v/>
      </c>
      <c r="P274" s="105" t="str">
        <f>IFERROR(M274/M274*R273*'Mortgage Calculator'!$C$13/12,"")</f>
        <v/>
      </c>
      <c r="Q274" s="105" t="str">
        <f t="shared" si="28"/>
        <v/>
      </c>
      <c r="R274" s="105" t="str">
        <f t="shared" si="29"/>
        <v/>
      </c>
    </row>
    <row r="275" spans="3:18" x14ac:dyDescent="0.3">
      <c r="C275" s="1" t="e">
        <f t="shared" si="25"/>
        <v>#VALUE!</v>
      </c>
      <c r="D275" s="1" t="str">
        <f t="shared" si="24"/>
        <v/>
      </c>
      <c r="F275" s="52" t="e">
        <f>'Mortgage Calculator'!$G$9*((1+'Mortgage Calculator'!$P$8)^(MISC!C275-1))</f>
        <v>#VALUE!</v>
      </c>
      <c r="G275" s="70" t="e">
        <f>'Mortgage Calculator'!$U$25*((1+'Mortgage Calculator'!$S$10)^(MISC!C275-1))</f>
        <v>#VALUE!</v>
      </c>
      <c r="H275" s="52" t="e">
        <f t="shared" si="26"/>
        <v>#VALUE!</v>
      </c>
      <c r="I275" s="69" t="str">
        <f>IFERROR(IF((H275+I274)*(1+('Mortgage Calculator'!$S$12/12))&gt;R275,"stop",(H275+I274)*(1+('Mortgage Calculator'!$S$12/12))),"")</f>
        <v/>
      </c>
      <c r="M275" s="83" t="str">
        <f t="shared" si="27"/>
        <v/>
      </c>
      <c r="N275" s="83"/>
      <c r="O275" s="105" t="str">
        <f>IFERROR(M275/M275*'Mortgage Calculator'!$U$28,"")</f>
        <v/>
      </c>
      <c r="P275" s="105" t="str">
        <f>IFERROR(M275/M275*R274*'Mortgage Calculator'!$C$13/12,"")</f>
        <v/>
      </c>
      <c r="Q275" s="105" t="str">
        <f t="shared" si="28"/>
        <v/>
      </c>
      <c r="R275" s="105" t="str">
        <f t="shared" si="29"/>
        <v/>
      </c>
    </row>
    <row r="276" spans="3:18" x14ac:dyDescent="0.3">
      <c r="C276" s="1" t="e">
        <f t="shared" si="25"/>
        <v>#VALUE!</v>
      </c>
      <c r="D276" s="1" t="str">
        <f t="shared" si="24"/>
        <v/>
      </c>
      <c r="F276" s="52" t="e">
        <f>'Mortgage Calculator'!$G$9*((1+'Mortgage Calculator'!$P$8)^(MISC!C276-1))</f>
        <v>#VALUE!</v>
      </c>
      <c r="G276" s="70" t="e">
        <f>'Mortgage Calculator'!$U$25*((1+'Mortgage Calculator'!$S$10)^(MISC!C276-1))</f>
        <v>#VALUE!</v>
      </c>
      <c r="H276" s="52" t="e">
        <f t="shared" si="26"/>
        <v>#VALUE!</v>
      </c>
      <c r="I276" s="69" t="str">
        <f>IFERROR(IF((H276+I275)*(1+('Mortgage Calculator'!$S$12/12))&gt;R276,"stop",(H276+I275)*(1+('Mortgage Calculator'!$S$12/12))),"")</f>
        <v/>
      </c>
      <c r="M276" s="83" t="str">
        <f t="shared" si="27"/>
        <v/>
      </c>
      <c r="N276" s="83"/>
      <c r="O276" s="105" t="str">
        <f>IFERROR(M276/M276*'Mortgage Calculator'!$U$28,"")</f>
        <v/>
      </c>
      <c r="P276" s="105" t="str">
        <f>IFERROR(M276/M276*R275*'Mortgage Calculator'!$C$13/12,"")</f>
        <v/>
      </c>
      <c r="Q276" s="105" t="str">
        <f t="shared" si="28"/>
        <v/>
      </c>
      <c r="R276" s="105" t="str">
        <f t="shared" si="29"/>
        <v/>
      </c>
    </row>
    <row r="277" spans="3:18" x14ac:dyDescent="0.3">
      <c r="C277" s="1" t="e">
        <f t="shared" si="25"/>
        <v>#VALUE!</v>
      </c>
      <c r="D277" s="1" t="str">
        <f t="shared" si="24"/>
        <v/>
      </c>
      <c r="F277" s="52" t="e">
        <f>'Mortgage Calculator'!$G$9*((1+'Mortgage Calculator'!$P$8)^(MISC!C277-1))</f>
        <v>#VALUE!</v>
      </c>
      <c r="G277" s="70" t="e">
        <f>'Mortgage Calculator'!$U$25*((1+'Mortgage Calculator'!$S$10)^(MISC!C277-1))</f>
        <v>#VALUE!</v>
      </c>
      <c r="H277" s="52" t="e">
        <f t="shared" si="26"/>
        <v>#VALUE!</v>
      </c>
      <c r="I277" s="69" t="str">
        <f>IFERROR(IF((H277+I276)*(1+('Mortgage Calculator'!$S$12/12))&gt;R277,"stop",(H277+I276)*(1+('Mortgage Calculator'!$S$12/12))),"")</f>
        <v/>
      </c>
      <c r="M277" s="83" t="str">
        <f t="shared" si="27"/>
        <v/>
      </c>
      <c r="N277" s="83"/>
      <c r="O277" s="105" t="str">
        <f>IFERROR(M277/M277*'Mortgage Calculator'!$U$28,"")</f>
        <v/>
      </c>
      <c r="P277" s="105" t="str">
        <f>IFERROR(M277/M277*R276*'Mortgage Calculator'!$C$13/12,"")</f>
        <v/>
      </c>
      <c r="Q277" s="105" t="str">
        <f t="shared" si="28"/>
        <v/>
      </c>
      <c r="R277" s="105" t="str">
        <f t="shared" si="29"/>
        <v/>
      </c>
    </row>
    <row r="278" spans="3:18" x14ac:dyDescent="0.3">
      <c r="C278" s="1" t="e">
        <f t="shared" si="25"/>
        <v>#VALUE!</v>
      </c>
      <c r="D278" s="1" t="str">
        <f t="shared" si="24"/>
        <v/>
      </c>
      <c r="F278" s="52" t="e">
        <f>'Mortgage Calculator'!$G$9*((1+'Mortgage Calculator'!$P$8)^(MISC!C278-1))</f>
        <v>#VALUE!</v>
      </c>
      <c r="G278" s="70" t="e">
        <f>'Mortgage Calculator'!$U$25*((1+'Mortgage Calculator'!$S$10)^(MISC!C278-1))</f>
        <v>#VALUE!</v>
      </c>
      <c r="H278" s="52" t="e">
        <f t="shared" si="26"/>
        <v>#VALUE!</v>
      </c>
      <c r="I278" s="69" t="str">
        <f>IFERROR(IF((H278+I277)*(1+('Mortgage Calculator'!$S$12/12))&gt;R278,"stop",(H278+I277)*(1+('Mortgage Calculator'!$S$12/12))),"")</f>
        <v/>
      </c>
      <c r="M278" s="83" t="str">
        <f t="shared" si="27"/>
        <v/>
      </c>
      <c r="N278" s="83"/>
      <c r="O278" s="105" t="str">
        <f>IFERROR(M278/M278*'Mortgage Calculator'!$U$28,"")</f>
        <v/>
      </c>
      <c r="P278" s="105" t="str">
        <f>IFERROR(M278/M278*R277*'Mortgage Calculator'!$C$13/12,"")</f>
        <v/>
      </c>
      <c r="Q278" s="105" t="str">
        <f t="shared" si="28"/>
        <v/>
      </c>
      <c r="R278" s="105" t="str">
        <f t="shared" si="29"/>
        <v/>
      </c>
    </row>
    <row r="279" spans="3:18" x14ac:dyDescent="0.3">
      <c r="C279" s="1" t="e">
        <f t="shared" si="25"/>
        <v>#VALUE!</v>
      </c>
      <c r="D279" s="1" t="str">
        <f t="shared" si="24"/>
        <v/>
      </c>
      <c r="F279" s="52" t="e">
        <f>'Mortgage Calculator'!$G$9*((1+'Mortgage Calculator'!$P$8)^(MISC!C279-1))</f>
        <v>#VALUE!</v>
      </c>
      <c r="G279" s="70" t="e">
        <f>'Mortgage Calculator'!$U$25*((1+'Mortgage Calculator'!$S$10)^(MISC!C279-1))</f>
        <v>#VALUE!</v>
      </c>
      <c r="H279" s="52" t="e">
        <f t="shared" si="26"/>
        <v>#VALUE!</v>
      </c>
      <c r="I279" s="69" t="str">
        <f>IFERROR(IF((H279+I278)*(1+('Mortgage Calculator'!$S$12/12))&gt;R279,"stop",(H279+I278)*(1+('Mortgage Calculator'!$S$12/12))),"")</f>
        <v/>
      </c>
      <c r="M279" s="83" t="str">
        <f t="shared" si="27"/>
        <v/>
      </c>
      <c r="N279" s="83"/>
      <c r="O279" s="105" t="str">
        <f>IFERROR(M279/M279*'Mortgage Calculator'!$U$28,"")</f>
        <v/>
      </c>
      <c r="P279" s="105" t="str">
        <f>IFERROR(M279/M279*R278*'Mortgage Calculator'!$C$13/12,"")</f>
        <v/>
      </c>
      <c r="Q279" s="105" t="str">
        <f t="shared" si="28"/>
        <v/>
      </c>
      <c r="R279" s="105" t="str">
        <f t="shared" si="29"/>
        <v/>
      </c>
    </row>
    <row r="280" spans="3:18" x14ac:dyDescent="0.3">
      <c r="C280" s="1" t="e">
        <f t="shared" si="25"/>
        <v>#VALUE!</v>
      </c>
      <c r="D280" s="1" t="str">
        <f t="shared" si="24"/>
        <v/>
      </c>
      <c r="F280" s="52" t="e">
        <f>'Mortgage Calculator'!$G$9*((1+'Mortgage Calculator'!$P$8)^(MISC!C280-1))</f>
        <v>#VALUE!</v>
      </c>
      <c r="G280" s="70" t="e">
        <f>'Mortgage Calculator'!$U$25*((1+'Mortgage Calculator'!$S$10)^(MISC!C280-1))</f>
        <v>#VALUE!</v>
      </c>
      <c r="H280" s="52" t="e">
        <f t="shared" si="26"/>
        <v>#VALUE!</v>
      </c>
      <c r="I280" s="69" t="str">
        <f>IFERROR(IF((H280+I279)*(1+('Mortgage Calculator'!$S$12/12))&gt;R280,"stop",(H280+I279)*(1+('Mortgage Calculator'!$S$12/12))),"")</f>
        <v/>
      </c>
      <c r="M280" s="83" t="str">
        <f t="shared" si="27"/>
        <v/>
      </c>
      <c r="N280" s="83"/>
      <c r="O280" s="105" t="str">
        <f>IFERROR(M280/M280*'Mortgage Calculator'!$U$28,"")</f>
        <v/>
      </c>
      <c r="P280" s="105" t="str">
        <f>IFERROR(M280/M280*R279*'Mortgage Calculator'!$C$13/12,"")</f>
        <v/>
      </c>
      <c r="Q280" s="105" t="str">
        <f t="shared" si="28"/>
        <v/>
      </c>
      <c r="R280" s="105" t="str">
        <f t="shared" si="29"/>
        <v/>
      </c>
    </row>
    <row r="281" spans="3:18" x14ac:dyDescent="0.3">
      <c r="C281" s="1" t="e">
        <f t="shared" si="25"/>
        <v>#VALUE!</v>
      </c>
      <c r="D281" s="1" t="str">
        <f t="shared" si="24"/>
        <v/>
      </c>
      <c r="F281" s="52" t="e">
        <f>'Mortgage Calculator'!$G$9*((1+'Mortgage Calculator'!$P$8)^(MISC!C281-1))</f>
        <v>#VALUE!</v>
      </c>
      <c r="G281" s="70" t="e">
        <f>'Mortgage Calculator'!$U$25*((1+'Mortgage Calculator'!$S$10)^(MISC!C281-1))</f>
        <v>#VALUE!</v>
      </c>
      <c r="H281" s="52" t="e">
        <f t="shared" si="26"/>
        <v>#VALUE!</v>
      </c>
      <c r="I281" s="69" t="str">
        <f>IFERROR(IF((H281+I280)*(1+('Mortgage Calculator'!$S$12/12))&gt;R281,"stop",(H281+I280)*(1+('Mortgage Calculator'!$S$12/12))),"")</f>
        <v/>
      </c>
      <c r="M281" s="83" t="str">
        <f t="shared" si="27"/>
        <v/>
      </c>
      <c r="N281" s="83"/>
      <c r="O281" s="105" t="str">
        <f>IFERROR(M281/M281*'Mortgage Calculator'!$U$28,"")</f>
        <v/>
      </c>
      <c r="P281" s="105" t="str">
        <f>IFERROR(M281/M281*R280*'Mortgage Calculator'!$C$13/12,"")</f>
        <v/>
      </c>
      <c r="Q281" s="105" t="str">
        <f t="shared" si="28"/>
        <v/>
      </c>
      <c r="R281" s="105" t="str">
        <f t="shared" si="29"/>
        <v/>
      </c>
    </row>
    <row r="282" spans="3:18" x14ac:dyDescent="0.3">
      <c r="C282" s="1" t="e">
        <f t="shared" si="25"/>
        <v>#VALUE!</v>
      </c>
      <c r="D282" s="1" t="str">
        <f t="shared" si="24"/>
        <v/>
      </c>
      <c r="F282" s="52" t="e">
        <f>'Mortgage Calculator'!$G$9*((1+'Mortgage Calculator'!$P$8)^(MISC!C282-1))</f>
        <v>#VALUE!</v>
      </c>
      <c r="G282" s="70" t="e">
        <f>'Mortgage Calculator'!$U$25*((1+'Mortgage Calculator'!$S$10)^(MISC!C282-1))</f>
        <v>#VALUE!</v>
      </c>
      <c r="H282" s="52" t="e">
        <f t="shared" si="26"/>
        <v>#VALUE!</v>
      </c>
      <c r="I282" s="69" t="str">
        <f>IFERROR(IF((H282+I281)*(1+('Mortgage Calculator'!$S$12/12))&gt;R282,"stop",(H282+I281)*(1+('Mortgage Calculator'!$S$12/12))),"")</f>
        <v/>
      </c>
      <c r="M282" s="83" t="str">
        <f t="shared" si="27"/>
        <v/>
      </c>
      <c r="N282" s="83"/>
      <c r="O282" s="105" t="str">
        <f>IFERROR(M282/M282*'Mortgage Calculator'!$U$28,"")</f>
        <v/>
      </c>
      <c r="P282" s="105" t="str">
        <f>IFERROR(M282/M282*R281*'Mortgage Calculator'!$C$13/12,"")</f>
        <v/>
      </c>
      <c r="Q282" s="105" t="str">
        <f t="shared" si="28"/>
        <v/>
      </c>
      <c r="R282" s="105" t="str">
        <f t="shared" si="29"/>
        <v/>
      </c>
    </row>
    <row r="283" spans="3:18" x14ac:dyDescent="0.3">
      <c r="C283" s="1" t="e">
        <f t="shared" si="25"/>
        <v>#VALUE!</v>
      </c>
      <c r="D283" s="1" t="str">
        <f t="shared" si="24"/>
        <v/>
      </c>
      <c r="F283" s="52" t="e">
        <f>'Mortgage Calculator'!$G$9*((1+'Mortgage Calculator'!$P$8)^(MISC!C283-1))</f>
        <v>#VALUE!</v>
      </c>
      <c r="G283" s="70" t="e">
        <f>'Mortgage Calculator'!$U$25*((1+'Mortgage Calculator'!$S$10)^(MISC!C283-1))</f>
        <v>#VALUE!</v>
      </c>
      <c r="H283" s="52" t="e">
        <f t="shared" si="26"/>
        <v>#VALUE!</v>
      </c>
      <c r="I283" s="69" t="str">
        <f>IFERROR(IF((H283+I282)*(1+('Mortgage Calculator'!$S$12/12))&gt;R283,"stop",(H283+I282)*(1+('Mortgage Calculator'!$S$12/12))),"")</f>
        <v/>
      </c>
      <c r="M283" s="83" t="str">
        <f t="shared" si="27"/>
        <v/>
      </c>
      <c r="N283" s="83"/>
      <c r="O283" s="105" t="str">
        <f>IFERROR(M283/M283*'Mortgage Calculator'!$U$28,"")</f>
        <v/>
      </c>
      <c r="P283" s="105" t="str">
        <f>IFERROR(M283/M283*R282*'Mortgage Calculator'!$C$13/12,"")</f>
        <v/>
      </c>
      <c r="Q283" s="105" t="str">
        <f t="shared" si="28"/>
        <v/>
      </c>
      <c r="R283" s="105" t="str">
        <f t="shared" si="29"/>
        <v/>
      </c>
    </row>
    <row r="284" spans="3:18" x14ac:dyDescent="0.3">
      <c r="C284" s="1" t="e">
        <f t="shared" si="25"/>
        <v>#VALUE!</v>
      </c>
      <c r="D284" s="1" t="str">
        <f t="shared" si="24"/>
        <v/>
      </c>
      <c r="F284" s="52" t="e">
        <f>'Mortgage Calculator'!$G$9*((1+'Mortgage Calculator'!$P$8)^(MISC!C284-1))</f>
        <v>#VALUE!</v>
      </c>
      <c r="G284" s="70" t="e">
        <f>'Mortgage Calculator'!$U$25*((1+'Mortgage Calculator'!$S$10)^(MISC!C284-1))</f>
        <v>#VALUE!</v>
      </c>
      <c r="H284" s="52" t="e">
        <f t="shared" si="26"/>
        <v>#VALUE!</v>
      </c>
      <c r="I284" s="69" t="str">
        <f>IFERROR(IF((H284+I283)*(1+('Mortgage Calculator'!$S$12/12))&gt;R284,"stop",(H284+I283)*(1+('Mortgage Calculator'!$S$12/12))),"")</f>
        <v/>
      </c>
      <c r="M284" s="83" t="str">
        <f t="shared" si="27"/>
        <v/>
      </c>
      <c r="N284" s="83"/>
      <c r="O284" s="105" t="str">
        <f>IFERROR(M284/M284*'Mortgage Calculator'!$U$28,"")</f>
        <v/>
      </c>
      <c r="P284" s="105" t="str">
        <f>IFERROR(M284/M284*R283*'Mortgage Calculator'!$C$13/12,"")</f>
        <v/>
      </c>
      <c r="Q284" s="105" t="str">
        <f t="shared" si="28"/>
        <v/>
      </c>
      <c r="R284" s="105" t="str">
        <f t="shared" si="29"/>
        <v/>
      </c>
    </row>
    <row r="285" spans="3:18" x14ac:dyDescent="0.3">
      <c r="C285" s="1" t="e">
        <f t="shared" si="25"/>
        <v>#VALUE!</v>
      </c>
      <c r="D285" s="1" t="str">
        <f t="shared" si="24"/>
        <v/>
      </c>
      <c r="F285" s="52" t="e">
        <f>'Mortgage Calculator'!$G$9*((1+'Mortgage Calculator'!$P$8)^(MISC!C285-1))</f>
        <v>#VALUE!</v>
      </c>
      <c r="G285" s="70" t="e">
        <f>'Mortgage Calculator'!$U$25*((1+'Mortgage Calculator'!$S$10)^(MISC!C285-1))</f>
        <v>#VALUE!</v>
      </c>
      <c r="H285" s="52" t="e">
        <f t="shared" si="26"/>
        <v>#VALUE!</v>
      </c>
      <c r="I285" s="69" t="str">
        <f>IFERROR(IF((H285+I284)*(1+('Mortgage Calculator'!$S$12/12))&gt;R285,"stop",(H285+I284)*(1+('Mortgage Calculator'!$S$12/12))),"")</f>
        <v/>
      </c>
      <c r="M285" s="83" t="str">
        <f t="shared" si="27"/>
        <v/>
      </c>
      <c r="N285" s="83"/>
      <c r="O285" s="105" t="str">
        <f>IFERROR(M285/M285*'Mortgage Calculator'!$U$28,"")</f>
        <v/>
      </c>
      <c r="P285" s="105" t="str">
        <f>IFERROR(M285/M285*R284*'Mortgage Calculator'!$C$13/12,"")</f>
        <v/>
      </c>
      <c r="Q285" s="105" t="str">
        <f t="shared" si="28"/>
        <v/>
      </c>
      <c r="R285" s="105" t="str">
        <f t="shared" si="29"/>
        <v/>
      </c>
    </row>
    <row r="286" spans="3:18" x14ac:dyDescent="0.3">
      <c r="C286" s="1" t="e">
        <f t="shared" si="25"/>
        <v>#VALUE!</v>
      </c>
      <c r="D286" s="1" t="str">
        <f t="shared" si="24"/>
        <v/>
      </c>
      <c r="F286" s="52" t="e">
        <f>'Mortgage Calculator'!$G$9*((1+'Mortgage Calculator'!$P$8)^(MISC!C286-1))</f>
        <v>#VALUE!</v>
      </c>
      <c r="G286" s="70" t="e">
        <f>'Mortgage Calculator'!$U$25*((1+'Mortgage Calculator'!$S$10)^(MISC!C286-1))</f>
        <v>#VALUE!</v>
      </c>
      <c r="H286" s="52" t="e">
        <f t="shared" si="26"/>
        <v>#VALUE!</v>
      </c>
      <c r="I286" s="69" t="str">
        <f>IFERROR(IF((H286+I285)*(1+('Mortgage Calculator'!$S$12/12))&gt;R286,"stop",(H286+I285)*(1+('Mortgage Calculator'!$S$12/12))),"")</f>
        <v/>
      </c>
      <c r="M286" s="83" t="str">
        <f t="shared" si="27"/>
        <v/>
      </c>
      <c r="N286" s="83"/>
      <c r="O286" s="105" t="str">
        <f>IFERROR(M286/M286*'Mortgage Calculator'!$U$28,"")</f>
        <v/>
      </c>
      <c r="P286" s="105" t="str">
        <f>IFERROR(M286/M286*R285*'Mortgage Calculator'!$C$13/12,"")</f>
        <v/>
      </c>
      <c r="Q286" s="105" t="str">
        <f t="shared" si="28"/>
        <v/>
      </c>
      <c r="R286" s="105" t="str">
        <f t="shared" si="29"/>
        <v/>
      </c>
    </row>
    <row r="287" spans="3:18" x14ac:dyDescent="0.3">
      <c r="C287" s="1" t="e">
        <f t="shared" si="25"/>
        <v>#VALUE!</v>
      </c>
      <c r="D287" s="1" t="str">
        <f t="shared" si="24"/>
        <v/>
      </c>
      <c r="F287" s="52" t="e">
        <f>'Mortgage Calculator'!$G$9*((1+'Mortgage Calculator'!$P$8)^(MISC!C287-1))</f>
        <v>#VALUE!</v>
      </c>
      <c r="G287" s="70" t="e">
        <f>'Mortgage Calculator'!$U$25*((1+'Mortgage Calculator'!$S$10)^(MISC!C287-1))</f>
        <v>#VALUE!</v>
      </c>
      <c r="H287" s="52" t="e">
        <f t="shared" si="26"/>
        <v>#VALUE!</v>
      </c>
      <c r="I287" s="69" t="str">
        <f>IFERROR(IF((H287+I286)*(1+('Mortgage Calculator'!$S$12/12))&gt;R287,"stop",(H287+I286)*(1+('Mortgage Calculator'!$S$12/12))),"")</f>
        <v/>
      </c>
      <c r="M287" s="83" t="str">
        <f t="shared" si="27"/>
        <v/>
      </c>
      <c r="N287" s="83"/>
      <c r="O287" s="105" t="str">
        <f>IFERROR(M287/M287*'Mortgage Calculator'!$U$28,"")</f>
        <v/>
      </c>
      <c r="P287" s="105" t="str">
        <f>IFERROR(M287/M287*R286*'Mortgage Calculator'!$C$13/12,"")</f>
        <v/>
      </c>
      <c r="Q287" s="105" t="str">
        <f t="shared" si="28"/>
        <v/>
      </c>
      <c r="R287" s="105" t="str">
        <f t="shared" si="29"/>
        <v/>
      </c>
    </row>
    <row r="288" spans="3:18" x14ac:dyDescent="0.3">
      <c r="C288" s="1" t="e">
        <f t="shared" si="25"/>
        <v>#VALUE!</v>
      </c>
      <c r="D288" s="1" t="str">
        <f t="shared" si="24"/>
        <v/>
      </c>
      <c r="F288" s="52" t="e">
        <f>'Mortgage Calculator'!$G$9*((1+'Mortgage Calculator'!$P$8)^(MISC!C288-1))</f>
        <v>#VALUE!</v>
      </c>
      <c r="G288" s="70" t="e">
        <f>'Mortgage Calculator'!$U$25*((1+'Mortgage Calculator'!$S$10)^(MISC!C288-1))</f>
        <v>#VALUE!</v>
      </c>
      <c r="H288" s="52" t="e">
        <f t="shared" si="26"/>
        <v>#VALUE!</v>
      </c>
      <c r="I288" s="69" t="str">
        <f>IFERROR(IF((H288+I287)*(1+('Mortgage Calculator'!$S$12/12))&gt;R288,"stop",(H288+I287)*(1+('Mortgage Calculator'!$S$12/12))),"")</f>
        <v/>
      </c>
      <c r="M288" s="83" t="str">
        <f t="shared" si="27"/>
        <v/>
      </c>
      <c r="N288" s="83"/>
      <c r="O288" s="105" t="str">
        <f>IFERROR(M288/M288*'Mortgage Calculator'!$U$28,"")</f>
        <v/>
      </c>
      <c r="P288" s="105" t="str">
        <f>IFERROR(M288/M288*R287*'Mortgage Calculator'!$C$13/12,"")</f>
        <v/>
      </c>
      <c r="Q288" s="105" t="str">
        <f t="shared" si="28"/>
        <v/>
      </c>
      <c r="R288" s="105" t="str">
        <f t="shared" si="29"/>
        <v/>
      </c>
    </row>
    <row r="289" spans="3:18" x14ac:dyDescent="0.3">
      <c r="C289" s="1" t="e">
        <f t="shared" si="25"/>
        <v>#VALUE!</v>
      </c>
      <c r="D289" s="1" t="str">
        <f t="shared" si="24"/>
        <v/>
      </c>
      <c r="F289" s="52" t="e">
        <f>'Mortgage Calculator'!$G$9*((1+'Mortgage Calculator'!$P$8)^(MISC!C289-1))</f>
        <v>#VALUE!</v>
      </c>
      <c r="G289" s="70" t="e">
        <f>'Mortgage Calculator'!$U$25*((1+'Mortgage Calculator'!$S$10)^(MISC!C289-1))</f>
        <v>#VALUE!</v>
      </c>
      <c r="H289" s="52" t="e">
        <f t="shared" si="26"/>
        <v>#VALUE!</v>
      </c>
      <c r="I289" s="69" t="str">
        <f>IFERROR(IF((H289+I288)*(1+('Mortgage Calculator'!$S$12/12))&gt;R289,"stop",(H289+I288)*(1+('Mortgage Calculator'!$S$12/12))),"")</f>
        <v/>
      </c>
      <c r="M289" s="83" t="str">
        <f t="shared" si="27"/>
        <v/>
      </c>
      <c r="N289" s="83"/>
      <c r="O289" s="105" t="str">
        <f>IFERROR(M289/M289*'Mortgage Calculator'!$U$28,"")</f>
        <v/>
      </c>
      <c r="P289" s="105" t="str">
        <f>IFERROR(M289/M289*R288*'Mortgage Calculator'!$C$13/12,"")</f>
        <v/>
      </c>
      <c r="Q289" s="105" t="str">
        <f t="shared" si="28"/>
        <v/>
      </c>
      <c r="R289" s="105" t="str">
        <f t="shared" si="29"/>
        <v/>
      </c>
    </row>
    <row r="290" spans="3:18" x14ac:dyDescent="0.3">
      <c r="C290" s="1" t="e">
        <f t="shared" si="25"/>
        <v>#VALUE!</v>
      </c>
      <c r="D290" s="1" t="str">
        <f t="shared" si="24"/>
        <v/>
      </c>
      <c r="F290" s="52" t="e">
        <f>'Mortgage Calculator'!$G$9*((1+'Mortgage Calculator'!$P$8)^(MISC!C290-1))</f>
        <v>#VALUE!</v>
      </c>
      <c r="G290" s="70" t="e">
        <f>'Mortgage Calculator'!$U$25*((1+'Mortgage Calculator'!$S$10)^(MISC!C290-1))</f>
        <v>#VALUE!</v>
      </c>
      <c r="H290" s="52" t="e">
        <f t="shared" si="26"/>
        <v>#VALUE!</v>
      </c>
      <c r="I290" s="69" t="str">
        <f>IFERROR(IF((H290+I289)*(1+('Mortgage Calculator'!$S$12/12))&gt;R290,"stop",(H290+I289)*(1+('Mortgage Calculator'!$S$12/12))),"")</f>
        <v/>
      </c>
      <c r="M290" s="83" t="str">
        <f t="shared" si="27"/>
        <v/>
      </c>
      <c r="N290" s="83"/>
      <c r="O290" s="105" t="str">
        <f>IFERROR(M290/M290*'Mortgage Calculator'!$U$28,"")</f>
        <v/>
      </c>
      <c r="P290" s="105" t="str">
        <f>IFERROR(M290/M290*R289*'Mortgage Calculator'!$C$13/12,"")</f>
        <v/>
      </c>
      <c r="Q290" s="105" t="str">
        <f t="shared" si="28"/>
        <v/>
      </c>
      <c r="R290" s="105" t="str">
        <f t="shared" si="29"/>
        <v/>
      </c>
    </row>
    <row r="291" spans="3:18" x14ac:dyDescent="0.3">
      <c r="C291" s="1" t="e">
        <f t="shared" si="25"/>
        <v>#VALUE!</v>
      </c>
      <c r="D291" s="1" t="str">
        <f t="shared" si="24"/>
        <v/>
      </c>
      <c r="F291" s="52" t="e">
        <f>'Mortgage Calculator'!$G$9*((1+'Mortgage Calculator'!$P$8)^(MISC!C291-1))</f>
        <v>#VALUE!</v>
      </c>
      <c r="G291" s="70" t="e">
        <f>'Mortgage Calculator'!$U$25*((1+'Mortgage Calculator'!$S$10)^(MISC!C291-1))</f>
        <v>#VALUE!</v>
      </c>
      <c r="H291" s="52" t="e">
        <f t="shared" si="26"/>
        <v>#VALUE!</v>
      </c>
      <c r="I291" s="69" t="str">
        <f>IFERROR(IF((H291+I290)*(1+('Mortgage Calculator'!$S$12/12))&gt;R291,"stop",(H291+I290)*(1+('Mortgage Calculator'!$S$12/12))),"")</f>
        <v/>
      </c>
      <c r="M291" s="83" t="str">
        <f t="shared" si="27"/>
        <v/>
      </c>
      <c r="N291" s="83"/>
      <c r="O291" s="105" t="str">
        <f>IFERROR(M291/M291*'Mortgage Calculator'!$U$28,"")</f>
        <v/>
      </c>
      <c r="P291" s="105" t="str">
        <f>IFERROR(M291/M291*R290*'Mortgage Calculator'!$C$13/12,"")</f>
        <v/>
      </c>
      <c r="Q291" s="105" t="str">
        <f t="shared" si="28"/>
        <v/>
      </c>
      <c r="R291" s="105" t="str">
        <f t="shared" si="29"/>
        <v/>
      </c>
    </row>
    <row r="292" spans="3:18" x14ac:dyDescent="0.3">
      <c r="C292" s="1" t="e">
        <f t="shared" si="25"/>
        <v>#VALUE!</v>
      </c>
      <c r="D292" s="1" t="str">
        <f t="shared" si="24"/>
        <v/>
      </c>
      <c r="F292" s="52" t="e">
        <f>'Mortgage Calculator'!$G$9*((1+'Mortgage Calculator'!$P$8)^(MISC!C292-1))</f>
        <v>#VALUE!</v>
      </c>
      <c r="G292" s="70" t="e">
        <f>'Mortgage Calculator'!$U$25*((1+'Mortgage Calculator'!$S$10)^(MISC!C292-1))</f>
        <v>#VALUE!</v>
      </c>
      <c r="H292" s="52" t="e">
        <f t="shared" si="26"/>
        <v>#VALUE!</v>
      </c>
      <c r="I292" s="69" t="str">
        <f>IFERROR(IF((H292+I291)*(1+('Mortgage Calculator'!$S$12/12))&gt;R292,"stop",(H292+I291)*(1+('Mortgage Calculator'!$S$12/12))),"")</f>
        <v/>
      </c>
      <c r="M292" s="83" t="str">
        <f t="shared" si="27"/>
        <v/>
      </c>
      <c r="N292" s="83"/>
      <c r="O292" s="105" t="str">
        <f>IFERROR(M292/M292*'Mortgage Calculator'!$U$28,"")</f>
        <v/>
      </c>
      <c r="P292" s="105" t="str">
        <f>IFERROR(M292/M292*R291*'Mortgage Calculator'!$C$13/12,"")</f>
        <v/>
      </c>
      <c r="Q292" s="105" t="str">
        <f t="shared" si="28"/>
        <v/>
      </c>
      <c r="R292" s="105" t="str">
        <f t="shared" si="29"/>
        <v/>
      </c>
    </row>
    <row r="293" spans="3:18" x14ac:dyDescent="0.3">
      <c r="C293" s="1" t="e">
        <f t="shared" si="25"/>
        <v>#VALUE!</v>
      </c>
      <c r="D293" s="1" t="str">
        <f t="shared" si="24"/>
        <v/>
      </c>
      <c r="F293" s="52" t="e">
        <f>'Mortgage Calculator'!$G$9*((1+'Mortgage Calculator'!$P$8)^(MISC!C293-1))</f>
        <v>#VALUE!</v>
      </c>
      <c r="G293" s="70" t="e">
        <f>'Mortgage Calculator'!$U$25*((1+'Mortgage Calculator'!$S$10)^(MISC!C293-1))</f>
        <v>#VALUE!</v>
      </c>
      <c r="H293" s="52" t="e">
        <f t="shared" si="26"/>
        <v>#VALUE!</v>
      </c>
      <c r="I293" s="69" t="str">
        <f>IFERROR(IF((H293+I292)*(1+('Mortgage Calculator'!$S$12/12))&gt;R293,"stop",(H293+I292)*(1+('Mortgage Calculator'!$S$12/12))),"")</f>
        <v/>
      </c>
      <c r="M293" s="83" t="str">
        <f t="shared" si="27"/>
        <v/>
      </c>
      <c r="N293" s="83"/>
      <c r="O293" s="105" t="str">
        <f>IFERROR(M293/M293*'Mortgage Calculator'!$U$28,"")</f>
        <v/>
      </c>
      <c r="P293" s="105" t="str">
        <f>IFERROR(M293/M293*R292*'Mortgage Calculator'!$C$13/12,"")</f>
        <v/>
      </c>
      <c r="Q293" s="105" t="str">
        <f t="shared" si="28"/>
        <v/>
      </c>
      <c r="R293" s="105" t="str">
        <f t="shared" si="29"/>
        <v/>
      </c>
    </row>
    <row r="294" spans="3:18" x14ac:dyDescent="0.3">
      <c r="C294" s="1" t="e">
        <f t="shared" si="25"/>
        <v>#VALUE!</v>
      </c>
      <c r="D294" s="1" t="str">
        <f t="shared" si="24"/>
        <v/>
      </c>
      <c r="F294" s="52" t="e">
        <f>'Mortgage Calculator'!$G$9*((1+'Mortgage Calculator'!$P$8)^(MISC!C294-1))</f>
        <v>#VALUE!</v>
      </c>
      <c r="G294" s="70" t="e">
        <f>'Mortgage Calculator'!$U$25*((1+'Mortgage Calculator'!$S$10)^(MISC!C294-1))</f>
        <v>#VALUE!</v>
      </c>
      <c r="H294" s="52" t="e">
        <f t="shared" si="26"/>
        <v>#VALUE!</v>
      </c>
      <c r="I294" s="69" t="str">
        <f>IFERROR(IF((H294+I293)*(1+('Mortgage Calculator'!$S$12/12))&gt;R294,"stop",(H294+I293)*(1+('Mortgage Calculator'!$S$12/12))),"")</f>
        <v/>
      </c>
      <c r="M294" s="83" t="str">
        <f t="shared" si="27"/>
        <v/>
      </c>
      <c r="N294" s="83"/>
      <c r="O294" s="105" t="str">
        <f>IFERROR(M294/M294*'Mortgage Calculator'!$U$28,"")</f>
        <v/>
      </c>
      <c r="P294" s="105" t="str">
        <f>IFERROR(M294/M294*R293*'Mortgage Calculator'!$C$13/12,"")</f>
        <v/>
      </c>
      <c r="Q294" s="105" t="str">
        <f t="shared" si="28"/>
        <v/>
      </c>
      <c r="R294" s="105" t="str">
        <f t="shared" si="29"/>
        <v/>
      </c>
    </row>
    <row r="295" spans="3:18" x14ac:dyDescent="0.3">
      <c r="C295" s="1" t="e">
        <f t="shared" si="25"/>
        <v>#VALUE!</v>
      </c>
      <c r="D295" s="1" t="str">
        <f t="shared" si="24"/>
        <v/>
      </c>
      <c r="F295" s="52" t="e">
        <f>'Mortgage Calculator'!$G$9*((1+'Mortgage Calculator'!$P$8)^(MISC!C295-1))</f>
        <v>#VALUE!</v>
      </c>
      <c r="G295" s="70" t="e">
        <f>'Mortgage Calculator'!$U$25*((1+'Mortgage Calculator'!$S$10)^(MISC!C295-1))</f>
        <v>#VALUE!</v>
      </c>
      <c r="H295" s="52" t="e">
        <f t="shared" si="26"/>
        <v>#VALUE!</v>
      </c>
      <c r="I295" s="69" t="str">
        <f>IFERROR(IF((H295+I294)*(1+('Mortgage Calculator'!$S$12/12))&gt;R295,"stop",(H295+I294)*(1+('Mortgage Calculator'!$S$12/12))),"")</f>
        <v/>
      </c>
      <c r="M295" s="83" t="str">
        <f t="shared" si="27"/>
        <v/>
      </c>
      <c r="N295" s="83"/>
      <c r="O295" s="105" t="str">
        <f>IFERROR(M295/M295*'Mortgage Calculator'!$U$28,"")</f>
        <v/>
      </c>
      <c r="P295" s="105" t="str">
        <f>IFERROR(M295/M295*R294*'Mortgage Calculator'!$C$13/12,"")</f>
        <v/>
      </c>
      <c r="Q295" s="105" t="str">
        <f t="shared" si="28"/>
        <v/>
      </c>
      <c r="R295" s="105" t="str">
        <f t="shared" si="29"/>
        <v/>
      </c>
    </row>
    <row r="296" spans="3:18" x14ac:dyDescent="0.3">
      <c r="C296" s="1" t="e">
        <f t="shared" si="25"/>
        <v>#VALUE!</v>
      </c>
      <c r="D296" s="1" t="str">
        <f t="shared" si="24"/>
        <v/>
      </c>
      <c r="F296" s="52" t="e">
        <f>'Mortgage Calculator'!$G$9*((1+'Mortgage Calculator'!$P$8)^(MISC!C296-1))</f>
        <v>#VALUE!</v>
      </c>
      <c r="G296" s="70" t="e">
        <f>'Mortgage Calculator'!$U$25*((1+'Mortgage Calculator'!$S$10)^(MISC!C296-1))</f>
        <v>#VALUE!</v>
      </c>
      <c r="H296" s="52" t="e">
        <f t="shared" si="26"/>
        <v>#VALUE!</v>
      </c>
      <c r="I296" s="69" t="str">
        <f>IFERROR(IF((H296+I295)*(1+('Mortgage Calculator'!$S$12/12))&gt;R296,"stop",(H296+I295)*(1+('Mortgage Calculator'!$S$12/12))),"")</f>
        <v/>
      </c>
      <c r="M296" s="83" t="str">
        <f t="shared" si="27"/>
        <v/>
      </c>
      <c r="N296" s="83"/>
      <c r="O296" s="105" t="str">
        <f>IFERROR(M296/M296*'Mortgage Calculator'!$U$28,"")</f>
        <v/>
      </c>
      <c r="P296" s="105" t="str">
        <f>IFERROR(M296/M296*R295*'Mortgage Calculator'!$C$13/12,"")</f>
        <v/>
      </c>
      <c r="Q296" s="105" t="str">
        <f t="shared" si="28"/>
        <v/>
      </c>
      <c r="R296" s="105" t="str">
        <f t="shared" si="29"/>
        <v/>
      </c>
    </row>
    <row r="297" spans="3:18" x14ac:dyDescent="0.3">
      <c r="C297" s="1" t="e">
        <f t="shared" si="25"/>
        <v>#VALUE!</v>
      </c>
      <c r="D297" s="1" t="str">
        <f t="shared" si="24"/>
        <v/>
      </c>
      <c r="F297" s="52" t="e">
        <f>'Mortgage Calculator'!$G$9*((1+'Mortgage Calculator'!$P$8)^(MISC!C297-1))</f>
        <v>#VALUE!</v>
      </c>
      <c r="G297" s="70" t="e">
        <f>'Mortgage Calculator'!$U$25*((1+'Mortgage Calculator'!$S$10)^(MISC!C297-1))</f>
        <v>#VALUE!</v>
      </c>
      <c r="H297" s="52" t="e">
        <f t="shared" si="26"/>
        <v>#VALUE!</v>
      </c>
      <c r="I297" s="69" t="str">
        <f>IFERROR(IF((H297+I296)*(1+('Mortgage Calculator'!$S$12/12))&gt;R297,"stop",(H297+I296)*(1+('Mortgage Calculator'!$S$12/12))),"")</f>
        <v/>
      </c>
      <c r="M297" s="83" t="str">
        <f t="shared" si="27"/>
        <v/>
      </c>
      <c r="N297" s="83"/>
      <c r="O297" s="105" t="str">
        <f>IFERROR(M297/M297*'Mortgage Calculator'!$U$28,"")</f>
        <v/>
      </c>
      <c r="P297" s="105" t="str">
        <f>IFERROR(M297/M297*R296*'Mortgage Calculator'!$C$13/12,"")</f>
        <v/>
      </c>
      <c r="Q297" s="105" t="str">
        <f t="shared" si="28"/>
        <v/>
      </c>
      <c r="R297" s="105" t="str">
        <f t="shared" si="29"/>
        <v/>
      </c>
    </row>
    <row r="298" spans="3:18" x14ac:dyDescent="0.3">
      <c r="C298" s="1" t="e">
        <f t="shared" si="25"/>
        <v>#VALUE!</v>
      </c>
      <c r="D298" s="1" t="str">
        <f t="shared" si="24"/>
        <v/>
      </c>
      <c r="F298" s="52" t="e">
        <f>'Mortgage Calculator'!$G$9*((1+'Mortgage Calculator'!$P$8)^(MISC!C298-1))</f>
        <v>#VALUE!</v>
      </c>
      <c r="G298" s="70" t="e">
        <f>'Mortgage Calculator'!$U$25*((1+'Mortgage Calculator'!$S$10)^(MISC!C298-1))</f>
        <v>#VALUE!</v>
      </c>
      <c r="H298" s="52" t="e">
        <f t="shared" si="26"/>
        <v>#VALUE!</v>
      </c>
      <c r="I298" s="69" t="str">
        <f>IFERROR(IF((H298+I297)*(1+('Mortgage Calculator'!$S$12/12))&gt;R298,"stop",(H298+I297)*(1+('Mortgage Calculator'!$S$12/12))),"")</f>
        <v/>
      </c>
      <c r="M298" s="83" t="str">
        <f t="shared" si="27"/>
        <v/>
      </c>
      <c r="N298" s="83"/>
      <c r="O298" s="105" t="str">
        <f>IFERROR(M298/M298*'Mortgage Calculator'!$U$28,"")</f>
        <v/>
      </c>
      <c r="P298" s="105" t="str">
        <f>IFERROR(M298/M298*R297*'Mortgage Calculator'!$C$13/12,"")</f>
        <v/>
      </c>
      <c r="Q298" s="105" t="str">
        <f t="shared" si="28"/>
        <v/>
      </c>
      <c r="R298" s="105" t="str">
        <f t="shared" si="29"/>
        <v/>
      </c>
    </row>
    <row r="299" spans="3:18" x14ac:dyDescent="0.3">
      <c r="C299" s="1" t="e">
        <f t="shared" si="25"/>
        <v>#VALUE!</v>
      </c>
      <c r="D299" s="1" t="str">
        <f t="shared" si="24"/>
        <v/>
      </c>
      <c r="F299" s="52" t="e">
        <f>'Mortgage Calculator'!$G$9*((1+'Mortgage Calculator'!$P$8)^(MISC!C299-1))</f>
        <v>#VALUE!</v>
      </c>
      <c r="G299" s="70" t="e">
        <f>'Mortgage Calculator'!$U$25*((1+'Mortgage Calculator'!$S$10)^(MISC!C299-1))</f>
        <v>#VALUE!</v>
      </c>
      <c r="H299" s="52" t="e">
        <f t="shared" si="26"/>
        <v>#VALUE!</v>
      </c>
      <c r="I299" s="69" t="str">
        <f>IFERROR(IF((H299+I298)*(1+('Mortgage Calculator'!$S$12/12))&gt;R299,"stop",(H299+I298)*(1+('Mortgage Calculator'!$S$12/12))),"")</f>
        <v/>
      </c>
      <c r="M299" s="83" t="str">
        <f t="shared" si="27"/>
        <v/>
      </c>
      <c r="N299" s="83"/>
      <c r="O299" s="105" t="str">
        <f>IFERROR(M299/M299*'Mortgage Calculator'!$U$28,"")</f>
        <v/>
      </c>
      <c r="P299" s="105" t="str">
        <f>IFERROR(M299/M299*R298*'Mortgage Calculator'!$C$13/12,"")</f>
        <v/>
      </c>
      <c r="Q299" s="105" t="str">
        <f t="shared" si="28"/>
        <v/>
      </c>
      <c r="R299" s="105" t="str">
        <f t="shared" si="29"/>
        <v/>
      </c>
    </row>
    <row r="300" spans="3:18" x14ac:dyDescent="0.3">
      <c r="C300" s="1" t="e">
        <f t="shared" si="25"/>
        <v>#VALUE!</v>
      </c>
      <c r="D300" s="1" t="str">
        <f t="shared" si="24"/>
        <v/>
      </c>
      <c r="F300" s="52" t="e">
        <f>'Mortgage Calculator'!$G$9*((1+'Mortgage Calculator'!$P$8)^(MISC!C300-1))</f>
        <v>#VALUE!</v>
      </c>
      <c r="G300" s="70" t="e">
        <f>'Mortgage Calculator'!$U$25*((1+'Mortgage Calculator'!$S$10)^(MISC!C300-1))</f>
        <v>#VALUE!</v>
      </c>
      <c r="H300" s="52" t="e">
        <f t="shared" si="26"/>
        <v>#VALUE!</v>
      </c>
      <c r="I300" s="69" t="str">
        <f>IFERROR(IF((H300+I299)*(1+('Mortgage Calculator'!$S$12/12))&gt;R300,"stop",(H300+I299)*(1+('Mortgage Calculator'!$S$12/12))),"")</f>
        <v/>
      </c>
      <c r="M300" s="83" t="str">
        <f t="shared" si="27"/>
        <v/>
      </c>
      <c r="N300" s="83"/>
      <c r="O300" s="105" t="str">
        <f>IFERROR(M300/M300*'Mortgage Calculator'!$U$28,"")</f>
        <v/>
      </c>
      <c r="P300" s="105" t="str">
        <f>IFERROR(M300/M300*R299*'Mortgage Calculator'!$C$13/12,"")</f>
        <v/>
      </c>
      <c r="Q300" s="105" t="str">
        <f t="shared" si="28"/>
        <v/>
      </c>
      <c r="R300" s="105" t="str">
        <f t="shared" si="29"/>
        <v/>
      </c>
    </row>
    <row r="301" spans="3:18" x14ac:dyDescent="0.3">
      <c r="C301" s="1" t="e">
        <f t="shared" si="25"/>
        <v>#VALUE!</v>
      </c>
      <c r="D301" s="1" t="str">
        <f t="shared" si="24"/>
        <v/>
      </c>
      <c r="F301" s="52" t="e">
        <f>'Mortgage Calculator'!$G$9*((1+'Mortgage Calculator'!$P$8)^(MISC!C301-1))</f>
        <v>#VALUE!</v>
      </c>
      <c r="G301" s="70" t="e">
        <f>'Mortgage Calculator'!$U$25*((1+'Mortgage Calculator'!$S$10)^(MISC!C301-1))</f>
        <v>#VALUE!</v>
      </c>
      <c r="H301" s="52" t="e">
        <f t="shared" si="26"/>
        <v>#VALUE!</v>
      </c>
      <c r="I301" s="69" t="str">
        <f>IFERROR(IF((H301+I300)*(1+('Mortgage Calculator'!$S$12/12))&gt;R301,"stop",(H301+I300)*(1+('Mortgage Calculator'!$S$12/12))),"")</f>
        <v/>
      </c>
      <c r="M301" s="83" t="str">
        <f t="shared" si="27"/>
        <v/>
      </c>
      <c r="N301" s="83"/>
      <c r="O301" s="105" t="str">
        <f>IFERROR(M301/M301*'Mortgage Calculator'!$U$28,"")</f>
        <v/>
      </c>
      <c r="P301" s="105" t="str">
        <f>IFERROR(M301/M301*R300*'Mortgage Calculator'!$C$13/12,"")</f>
        <v/>
      </c>
      <c r="Q301" s="105" t="str">
        <f t="shared" si="28"/>
        <v/>
      </c>
      <c r="R301" s="105" t="str">
        <f t="shared" si="29"/>
        <v/>
      </c>
    </row>
    <row r="302" spans="3:18" x14ac:dyDescent="0.3">
      <c r="C302" s="1" t="e">
        <f t="shared" si="25"/>
        <v>#VALUE!</v>
      </c>
      <c r="D302" s="1" t="str">
        <f t="shared" si="24"/>
        <v/>
      </c>
      <c r="F302" s="52" t="e">
        <f>'Mortgage Calculator'!$G$9*((1+'Mortgage Calculator'!$P$8)^(MISC!C302-1))</f>
        <v>#VALUE!</v>
      </c>
      <c r="G302" s="70" t="e">
        <f>'Mortgage Calculator'!$U$25*((1+'Mortgage Calculator'!$S$10)^(MISC!C302-1))</f>
        <v>#VALUE!</v>
      </c>
      <c r="H302" s="52" t="e">
        <f t="shared" si="26"/>
        <v>#VALUE!</v>
      </c>
      <c r="I302" s="69" t="str">
        <f>IFERROR(IF((H302+I301)*(1+('Mortgage Calculator'!$S$12/12))&gt;R302,"stop",(H302+I301)*(1+('Mortgage Calculator'!$S$12/12))),"")</f>
        <v/>
      </c>
      <c r="M302" s="83" t="str">
        <f t="shared" si="27"/>
        <v/>
      </c>
      <c r="N302" s="83"/>
      <c r="O302" s="105" t="str">
        <f>IFERROR(M302/M302*'Mortgage Calculator'!$U$28,"")</f>
        <v/>
      </c>
      <c r="P302" s="105" t="str">
        <f>IFERROR(M302/M302*R301*'Mortgage Calculator'!$C$13/12,"")</f>
        <v/>
      </c>
      <c r="Q302" s="105" t="str">
        <f t="shared" si="28"/>
        <v/>
      </c>
      <c r="R302" s="105" t="str">
        <f t="shared" si="29"/>
        <v/>
      </c>
    </row>
    <row r="303" spans="3:18" x14ac:dyDescent="0.3">
      <c r="C303" s="1" t="e">
        <f t="shared" si="25"/>
        <v>#VALUE!</v>
      </c>
      <c r="D303" s="1" t="str">
        <f t="shared" si="24"/>
        <v/>
      </c>
      <c r="F303" s="52" t="e">
        <f>'Mortgage Calculator'!$G$9*((1+'Mortgage Calculator'!$P$8)^(MISC!C303-1))</f>
        <v>#VALUE!</v>
      </c>
      <c r="G303" s="70" t="e">
        <f>'Mortgage Calculator'!$U$25*((1+'Mortgage Calculator'!$S$10)^(MISC!C303-1))</f>
        <v>#VALUE!</v>
      </c>
      <c r="H303" s="52" t="e">
        <f t="shared" si="26"/>
        <v>#VALUE!</v>
      </c>
      <c r="I303" s="69" t="str">
        <f>IFERROR(IF((H303+I302)*(1+('Mortgage Calculator'!$S$12/12))&gt;R303,"stop",(H303+I302)*(1+('Mortgage Calculator'!$S$12/12))),"")</f>
        <v/>
      </c>
      <c r="M303" s="83" t="str">
        <f t="shared" si="27"/>
        <v/>
      </c>
      <c r="N303" s="83"/>
      <c r="O303" s="105" t="str">
        <f>IFERROR(M303/M303*'Mortgage Calculator'!$U$28,"")</f>
        <v/>
      </c>
      <c r="P303" s="105" t="str">
        <f>IFERROR(M303/M303*R302*'Mortgage Calculator'!$C$13/12,"")</f>
        <v/>
      </c>
      <c r="Q303" s="105" t="str">
        <f t="shared" si="28"/>
        <v/>
      </c>
      <c r="R303" s="105" t="str">
        <f t="shared" si="29"/>
        <v/>
      </c>
    </row>
    <row r="304" spans="3:18" x14ac:dyDescent="0.3">
      <c r="C304" s="1" t="e">
        <f t="shared" si="25"/>
        <v>#VALUE!</v>
      </c>
      <c r="D304" s="1" t="str">
        <f t="shared" si="24"/>
        <v/>
      </c>
      <c r="F304" s="52" t="e">
        <f>'Mortgage Calculator'!$G$9*((1+'Mortgage Calculator'!$P$8)^(MISC!C304-1))</f>
        <v>#VALUE!</v>
      </c>
      <c r="G304" s="70" t="e">
        <f>'Mortgage Calculator'!$U$25*((1+'Mortgage Calculator'!$S$10)^(MISC!C304-1))</f>
        <v>#VALUE!</v>
      </c>
      <c r="H304" s="52" t="e">
        <f t="shared" si="26"/>
        <v>#VALUE!</v>
      </c>
      <c r="I304" s="69" t="str">
        <f>IFERROR(IF((H304+I303)*(1+('Mortgage Calculator'!$S$12/12))&gt;R304,"stop",(H304+I303)*(1+('Mortgage Calculator'!$S$12/12))),"")</f>
        <v/>
      </c>
      <c r="M304" s="83" t="str">
        <f t="shared" si="27"/>
        <v/>
      </c>
      <c r="N304" s="83"/>
      <c r="O304" s="105" t="str">
        <f>IFERROR(M304/M304*'Mortgage Calculator'!$U$28,"")</f>
        <v/>
      </c>
      <c r="P304" s="105" t="str">
        <f>IFERROR(M304/M304*R303*'Mortgage Calculator'!$C$13/12,"")</f>
        <v/>
      </c>
      <c r="Q304" s="105" t="str">
        <f t="shared" si="28"/>
        <v/>
      </c>
      <c r="R304" s="105" t="str">
        <f t="shared" si="29"/>
        <v/>
      </c>
    </row>
    <row r="305" spans="3:18" x14ac:dyDescent="0.3">
      <c r="C305" s="1" t="e">
        <f t="shared" si="25"/>
        <v>#VALUE!</v>
      </c>
      <c r="D305" s="1" t="str">
        <f t="shared" si="24"/>
        <v/>
      </c>
      <c r="F305" s="52" t="e">
        <f>'Mortgage Calculator'!$G$9*((1+'Mortgage Calculator'!$P$8)^(MISC!C305-1))</f>
        <v>#VALUE!</v>
      </c>
      <c r="G305" s="70" t="e">
        <f>'Mortgage Calculator'!$U$25*((1+'Mortgage Calculator'!$S$10)^(MISC!C305-1))</f>
        <v>#VALUE!</v>
      </c>
      <c r="H305" s="52" t="e">
        <f t="shared" si="26"/>
        <v>#VALUE!</v>
      </c>
      <c r="I305" s="69" t="str">
        <f>IFERROR(IF((H305+I304)*(1+('Mortgage Calculator'!$S$12/12))&gt;R305,"stop",(H305+I304)*(1+('Mortgage Calculator'!$S$12/12))),"")</f>
        <v/>
      </c>
      <c r="M305" s="83" t="str">
        <f t="shared" si="27"/>
        <v/>
      </c>
      <c r="N305" s="83"/>
      <c r="O305" s="105" t="str">
        <f>IFERROR(M305/M305*'Mortgage Calculator'!$U$28,"")</f>
        <v/>
      </c>
      <c r="P305" s="105" t="str">
        <f>IFERROR(M305/M305*R304*'Mortgage Calculator'!$C$13/12,"")</f>
        <v/>
      </c>
      <c r="Q305" s="105" t="str">
        <f t="shared" si="28"/>
        <v/>
      </c>
      <c r="R305" s="105" t="str">
        <f t="shared" si="29"/>
        <v/>
      </c>
    </row>
    <row r="306" spans="3:18" x14ac:dyDescent="0.3">
      <c r="C306" s="1" t="e">
        <f t="shared" si="25"/>
        <v>#VALUE!</v>
      </c>
      <c r="D306" s="1" t="str">
        <f t="shared" si="24"/>
        <v/>
      </c>
      <c r="F306" s="52" t="e">
        <f>'Mortgage Calculator'!$G$9*((1+'Mortgage Calculator'!$P$8)^(MISC!C306-1))</f>
        <v>#VALUE!</v>
      </c>
      <c r="G306" s="70" t="e">
        <f>'Mortgage Calculator'!$U$25*((1+'Mortgage Calculator'!$S$10)^(MISC!C306-1))</f>
        <v>#VALUE!</v>
      </c>
      <c r="H306" s="52" t="e">
        <f t="shared" si="26"/>
        <v>#VALUE!</v>
      </c>
      <c r="I306" s="69" t="str">
        <f>IFERROR(IF((H306+I305)*(1+('Mortgage Calculator'!$S$12/12))&gt;R306,"stop",(H306+I305)*(1+('Mortgage Calculator'!$S$12/12))),"")</f>
        <v/>
      </c>
      <c r="M306" s="83" t="str">
        <f t="shared" si="27"/>
        <v/>
      </c>
      <c r="N306" s="83"/>
      <c r="O306" s="105" t="str">
        <f>IFERROR(M306/M306*'Mortgage Calculator'!$U$28,"")</f>
        <v/>
      </c>
      <c r="P306" s="105" t="str">
        <f>IFERROR(M306/M306*R305*'Mortgage Calculator'!$C$13/12,"")</f>
        <v/>
      </c>
      <c r="Q306" s="105" t="str">
        <f t="shared" si="28"/>
        <v/>
      </c>
      <c r="R306" s="105" t="str">
        <f t="shared" si="29"/>
        <v/>
      </c>
    </row>
    <row r="307" spans="3:18" x14ac:dyDescent="0.3">
      <c r="C307" s="1" t="e">
        <f t="shared" si="25"/>
        <v>#VALUE!</v>
      </c>
      <c r="D307" s="1" t="str">
        <f t="shared" si="24"/>
        <v/>
      </c>
      <c r="F307" s="52" t="e">
        <f>'Mortgage Calculator'!$G$9*((1+'Mortgage Calculator'!$P$8)^(MISC!C307-1))</f>
        <v>#VALUE!</v>
      </c>
      <c r="G307" s="70" t="e">
        <f>'Mortgage Calculator'!$U$25*((1+'Mortgage Calculator'!$S$10)^(MISC!C307-1))</f>
        <v>#VALUE!</v>
      </c>
      <c r="H307" s="52" t="e">
        <f t="shared" si="26"/>
        <v>#VALUE!</v>
      </c>
      <c r="I307" s="69" t="str">
        <f>IFERROR(IF((H307+I306)*(1+('Mortgage Calculator'!$S$12/12))&gt;R307,"stop",(H307+I306)*(1+('Mortgage Calculator'!$S$12/12))),"")</f>
        <v/>
      </c>
      <c r="M307" s="83" t="str">
        <f t="shared" si="27"/>
        <v/>
      </c>
      <c r="N307" s="83"/>
      <c r="O307" s="105" t="str">
        <f>IFERROR(M307/M307*'Mortgage Calculator'!$U$28,"")</f>
        <v/>
      </c>
      <c r="P307" s="105" t="str">
        <f>IFERROR(M307/M307*R306*'Mortgage Calculator'!$C$13/12,"")</f>
        <v/>
      </c>
      <c r="Q307" s="105" t="str">
        <f t="shared" si="28"/>
        <v/>
      </c>
      <c r="R307" s="105" t="str">
        <f t="shared" si="29"/>
        <v/>
      </c>
    </row>
    <row r="308" spans="3:18" x14ac:dyDescent="0.3">
      <c r="C308" s="1" t="e">
        <f t="shared" si="25"/>
        <v>#VALUE!</v>
      </c>
      <c r="D308" s="1" t="str">
        <f t="shared" si="24"/>
        <v/>
      </c>
      <c r="F308" s="52" t="e">
        <f>'Mortgage Calculator'!$G$9*((1+'Mortgage Calculator'!$P$8)^(MISC!C308-1))</f>
        <v>#VALUE!</v>
      </c>
      <c r="G308" s="70" t="e">
        <f>'Mortgage Calculator'!$U$25*((1+'Mortgage Calculator'!$S$10)^(MISC!C308-1))</f>
        <v>#VALUE!</v>
      </c>
      <c r="H308" s="52" t="e">
        <f t="shared" si="26"/>
        <v>#VALUE!</v>
      </c>
      <c r="I308" s="69" t="str">
        <f>IFERROR(IF((H308+I307)*(1+('Mortgage Calculator'!$S$12/12))&gt;R308,"stop",(H308+I307)*(1+('Mortgage Calculator'!$S$12/12))),"")</f>
        <v/>
      </c>
      <c r="M308" s="83" t="str">
        <f t="shared" si="27"/>
        <v/>
      </c>
      <c r="N308" s="83"/>
      <c r="O308" s="105" t="str">
        <f>IFERROR(M308/M308*'Mortgage Calculator'!$U$28,"")</f>
        <v/>
      </c>
      <c r="P308" s="105" t="str">
        <f>IFERROR(M308/M308*R307*'Mortgage Calculator'!$C$13/12,"")</f>
        <v/>
      </c>
      <c r="Q308" s="105" t="str">
        <f t="shared" si="28"/>
        <v/>
      </c>
      <c r="R308" s="105" t="str">
        <f t="shared" si="29"/>
        <v/>
      </c>
    </row>
    <row r="309" spans="3:18" x14ac:dyDescent="0.3">
      <c r="C309" s="1" t="e">
        <f t="shared" si="25"/>
        <v>#VALUE!</v>
      </c>
      <c r="D309" s="1" t="str">
        <f t="shared" si="24"/>
        <v/>
      </c>
      <c r="F309" s="52" t="e">
        <f>'Mortgage Calculator'!$G$9*((1+'Mortgage Calculator'!$P$8)^(MISC!C309-1))</f>
        <v>#VALUE!</v>
      </c>
      <c r="G309" s="70" t="e">
        <f>'Mortgage Calculator'!$U$25*((1+'Mortgage Calculator'!$S$10)^(MISC!C309-1))</f>
        <v>#VALUE!</v>
      </c>
      <c r="H309" s="52" t="e">
        <f t="shared" si="26"/>
        <v>#VALUE!</v>
      </c>
      <c r="I309" s="69" t="str">
        <f>IFERROR(IF((H309+I308)*(1+('Mortgage Calculator'!$S$12/12))&gt;R309,"stop",(H309+I308)*(1+('Mortgage Calculator'!$S$12/12))),"")</f>
        <v/>
      </c>
      <c r="M309" s="83" t="str">
        <f t="shared" si="27"/>
        <v/>
      </c>
      <c r="N309" s="83"/>
      <c r="O309" s="105" t="str">
        <f>IFERROR(M309/M309*'Mortgage Calculator'!$U$28,"")</f>
        <v/>
      </c>
      <c r="P309" s="105" t="str">
        <f>IFERROR(M309/M309*R308*'Mortgage Calculator'!$C$13/12,"")</f>
        <v/>
      </c>
      <c r="Q309" s="105" t="str">
        <f t="shared" si="28"/>
        <v/>
      </c>
      <c r="R309" s="105" t="str">
        <f t="shared" si="29"/>
        <v/>
      </c>
    </row>
    <row r="310" spans="3:18" x14ac:dyDescent="0.3">
      <c r="C310" s="1" t="e">
        <f t="shared" si="25"/>
        <v>#VALUE!</v>
      </c>
      <c r="D310" s="1" t="str">
        <f t="shared" si="24"/>
        <v/>
      </c>
      <c r="F310" s="52" t="e">
        <f>'Mortgage Calculator'!$G$9*((1+'Mortgage Calculator'!$P$8)^(MISC!C310-1))</f>
        <v>#VALUE!</v>
      </c>
      <c r="G310" s="70" t="e">
        <f>'Mortgage Calculator'!$U$25*((1+'Mortgage Calculator'!$S$10)^(MISC!C310-1))</f>
        <v>#VALUE!</v>
      </c>
      <c r="H310" s="52" t="e">
        <f t="shared" si="26"/>
        <v>#VALUE!</v>
      </c>
      <c r="I310" s="69" t="str">
        <f>IFERROR(IF((H310+I309)*(1+('Mortgage Calculator'!$S$12/12))&gt;R310,"stop",(H310+I309)*(1+('Mortgage Calculator'!$S$12/12))),"")</f>
        <v/>
      </c>
      <c r="M310" s="83" t="str">
        <f t="shared" si="27"/>
        <v/>
      </c>
      <c r="N310" s="83"/>
      <c r="O310" s="105" t="str">
        <f>IFERROR(M310/M310*'Mortgage Calculator'!$U$28,"")</f>
        <v/>
      </c>
      <c r="P310" s="105" t="str">
        <f>IFERROR(M310/M310*R309*'Mortgage Calculator'!$C$13/12,"")</f>
        <v/>
      </c>
      <c r="Q310" s="105" t="str">
        <f t="shared" si="28"/>
        <v/>
      </c>
      <c r="R310" s="105" t="str">
        <f t="shared" si="29"/>
        <v/>
      </c>
    </row>
    <row r="311" spans="3:18" x14ac:dyDescent="0.3">
      <c r="C311" s="1" t="e">
        <f t="shared" si="25"/>
        <v>#VALUE!</v>
      </c>
      <c r="D311" s="1" t="str">
        <f t="shared" si="24"/>
        <v/>
      </c>
      <c r="F311" s="52" t="e">
        <f>'Mortgage Calculator'!$G$9*((1+'Mortgage Calculator'!$P$8)^(MISC!C311-1))</f>
        <v>#VALUE!</v>
      </c>
      <c r="G311" s="70" t="e">
        <f>'Mortgage Calculator'!$U$25*((1+'Mortgage Calculator'!$S$10)^(MISC!C311-1))</f>
        <v>#VALUE!</v>
      </c>
      <c r="H311" s="52" t="e">
        <f t="shared" si="26"/>
        <v>#VALUE!</v>
      </c>
      <c r="I311" s="69" t="str">
        <f>IFERROR(IF((H311+I310)*(1+('Mortgage Calculator'!$S$12/12))&gt;R311,"stop",(H311+I310)*(1+('Mortgage Calculator'!$S$12/12))),"")</f>
        <v/>
      </c>
      <c r="M311" s="83" t="str">
        <f t="shared" si="27"/>
        <v/>
      </c>
      <c r="N311" s="83"/>
      <c r="O311" s="105" t="str">
        <f>IFERROR(M311/M311*'Mortgage Calculator'!$U$28,"")</f>
        <v/>
      </c>
      <c r="P311" s="105" t="str">
        <f>IFERROR(M311/M311*R310*'Mortgage Calculator'!$C$13/12,"")</f>
        <v/>
      </c>
      <c r="Q311" s="105" t="str">
        <f t="shared" si="28"/>
        <v/>
      </c>
      <c r="R311" s="105" t="str">
        <f t="shared" si="29"/>
        <v/>
      </c>
    </row>
    <row r="312" spans="3:18" x14ac:dyDescent="0.3">
      <c r="C312" s="1" t="e">
        <f t="shared" si="25"/>
        <v>#VALUE!</v>
      </c>
      <c r="D312" s="1" t="str">
        <f t="shared" si="24"/>
        <v/>
      </c>
      <c r="F312" s="52" t="e">
        <f>'Mortgage Calculator'!$G$9*((1+'Mortgage Calculator'!$P$8)^(MISC!C312-1))</f>
        <v>#VALUE!</v>
      </c>
      <c r="G312" s="70" t="e">
        <f>'Mortgage Calculator'!$U$25*((1+'Mortgage Calculator'!$S$10)^(MISC!C312-1))</f>
        <v>#VALUE!</v>
      </c>
      <c r="H312" s="52" t="e">
        <f t="shared" si="26"/>
        <v>#VALUE!</v>
      </c>
      <c r="I312" s="69" t="str">
        <f>IFERROR(IF((H312+I311)*(1+('Mortgage Calculator'!$S$12/12))&gt;R312,"stop",(H312+I311)*(1+('Mortgage Calculator'!$S$12/12))),"")</f>
        <v/>
      </c>
      <c r="M312" s="83" t="str">
        <f t="shared" si="27"/>
        <v/>
      </c>
      <c r="N312" s="83"/>
      <c r="O312" s="105" t="str">
        <f>IFERROR(M312/M312*'Mortgage Calculator'!$U$28,"")</f>
        <v/>
      </c>
      <c r="P312" s="105" t="str">
        <f>IFERROR(M312/M312*R311*'Mortgage Calculator'!$C$13/12,"")</f>
        <v/>
      </c>
      <c r="Q312" s="105" t="str">
        <f t="shared" si="28"/>
        <v/>
      </c>
      <c r="R312" s="105" t="str">
        <f t="shared" si="29"/>
        <v/>
      </c>
    </row>
    <row r="313" spans="3:18" x14ac:dyDescent="0.3">
      <c r="C313" s="1" t="e">
        <f t="shared" si="25"/>
        <v>#VALUE!</v>
      </c>
      <c r="D313" s="1" t="str">
        <f t="shared" si="24"/>
        <v/>
      </c>
      <c r="F313" s="52" t="e">
        <f>'Mortgage Calculator'!$G$9*((1+'Mortgage Calculator'!$P$8)^(MISC!C313-1))</f>
        <v>#VALUE!</v>
      </c>
      <c r="G313" s="70" t="e">
        <f>'Mortgage Calculator'!$U$25*((1+'Mortgage Calculator'!$S$10)^(MISC!C313-1))</f>
        <v>#VALUE!</v>
      </c>
      <c r="H313" s="52" t="e">
        <f t="shared" si="26"/>
        <v>#VALUE!</v>
      </c>
      <c r="I313" s="69" t="str">
        <f>IFERROR(IF((H313+I312)*(1+('Mortgage Calculator'!$S$12/12))&gt;R313,"stop",(H313+I312)*(1+('Mortgage Calculator'!$S$12/12))),"")</f>
        <v/>
      </c>
      <c r="M313" s="83" t="str">
        <f t="shared" si="27"/>
        <v/>
      </c>
      <c r="N313" s="83"/>
      <c r="O313" s="105" t="str">
        <f>IFERROR(M313/M313*'Mortgage Calculator'!$U$28,"")</f>
        <v/>
      </c>
      <c r="P313" s="105" t="str">
        <f>IFERROR(M313/M313*R312*'Mortgage Calculator'!$C$13/12,"")</f>
        <v/>
      </c>
      <c r="Q313" s="105" t="str">
        <f t="shared" si="28"/>
        <v/>
      </c>
      <c r="R313" s="105" t="str">
        <f t="shared" si="29"/>
        <v/>
      </c>
    </row>
    <row r="314" spans="3:18" x14ac:dyDescent="0.3">
      <c r="C314" s="1" t="e">
        <f t="shared" si="25"/>
        <v>#VALUE!</v>
      </c>
      <c r="D314" s="1" t="str">
        <f t="shared" si="24"/>
        <v/>
      </c>
      <c r="F314" s="52" t="e">
        <f>'Mortgage Calculator'!$G$9*((1+'Mortgage Calculator'!$P$8)^(MISC!C314-1))</f>
        <v>#VALUE!</v>
      </c>
      <c r="G314" s="70" t="e">
        <f>'Mortgage Calculator'!$U$25*((1+'Mortgage Calculator'!$S$10)^(MISC!C314-1))</f>
        <v>#VALUE!</v>
      </c>
      <c r="H314" s="52" t="e">
        <f t="shared" si="26"/>
        <v>#VALUE!</v>
      </c>
      <c r="I314" s="69" t="str">
        <f>IFERROR(IF((H314+I313)*(1+('Mortgage Calculator'!$S$12/12))&gt;R314,"stop",(H314+I313)*(1+('Mortgage Calculator'!$S$12/12))),"")</f>
        <v/>
      </c>
      <c r="M314" s="83" t="str">
        <f t="shared" si="27"/>
        <v/>
      </c>
      <c r="N314" s="83"/>
      <c r="O314" s="105" t="str">
        <f>IFERROR(M314/M314*'Mortgage Calculator'!$U$28,"")</f>
        <v/>
      </c>
      <c r="P314" s="105" t="str">
        <f>IFERROR(M314/M314*R313*'Mortgage Calculator'!$C$13/12,"")</f>
        <v/>
      </c>
      <c r="Q314" s="105" t="str">
        <f t="shared" si="28"/>
        <v/>
      </c>
      <c r="R314" s="105" t="str">
        <f t="shared" si="29"/>
        <v/>
      </c>
    </row>
    <row r="315" spans="3:18" x14ac:dyDescent="0.3">
      <c r="C315" s="1" t="e">
        <f t="shared" si="25"/>
        <v>#VALUE!</v>
      </c>
      <c r="D315" s="1" t="str">
        <f t="shared" si="24"/>
        <v/>
      </c>
      <c r="F315" s="52" t="e">
        <f>'Mortgage Calculator'!$G$9*((1+'Mortgage Calculator'!$P$8)^(MISC!C315-1))</f>
        <v>#VALUE!</v>
      </c>
      <c r="G315" s="70" t="e">
        <f>'Mortgage Calculator'!$U$25*((1+'Mortgage Calculator'!$S$10)^(MISC!C315-1))</f>
        <v>#VALUE!</v>
      </c>
      <c r="H315" s="52" t="e">
        <f t="shared" si="26"/>
        <v>#VALUE!</v>
      </c>
      <c r="I315" s="69" t="str">
        <f>IFERROR(IF((H315+I314)*(1+('Mortgage Calculator'!$S$12/12))&gt;R315,"stop",(H315+I314)*(1+('Mortgage Calculator'!$S$12/12))),"")</f>
        <v/>
      </c>
      <c r="M315" s="83" t="str">
        <f t="shared" si="27"/>
        <v/>
      </c>
      <c r="N315" s="83"/>
      <c r="O315" s="105" t="str">
        <f>IFERROR(M315/M315*'Mortgage Calculator'!$U$28,"")</f>
        <v/>
      </c>
      <c r="P315" s="105" t="str">
        <f>IFERROR(M315/M315*R314*'Mortgage Calculator'!$C$13/12,"")</f>
        <v/>
      </c>
      <c r="Q315" s="105" t="str">
        <f t="shared" si="28"/>
        <v/>
      </c>
      <c r="R315" s="105" t="str">
        <f t="shared" si="29"/>
        <v/>
      </c>
    </row>
    <row r="316" spans="3:18" x14ac:dyDescent="0.3">
      <c r="C316" s="1" t="e">
        <f t="shared" si="25"/>
        <v>#VALUE!</v>
      </c>
      <c r="D316" s="1" t="str">
        <f t="shared" si="24"/>
        <v/>
      </c>
      <c r="F316" s="52" t="e">
        <f>'Mortgage Calculator'!$G$9*((1+'Mortgage Calculator'!$P$8)^(MISC!C316-1))</f>
        <v>#VALUE!</v>
      </c>
      <c r="G316" s="70" t="e">
        <f>'Mortgage Calculator'!$U$25*((1+'Mortgage Calculator'!$S$10)^(MISC!C316-1))</f>
        <v>#VALUE!</v>
      </c>
      <c r="H316" s="52" t="e">
        <f t="shared" si="26"/>
        <v>#VALUE!</v>
      </c>
      <c r="I316" s="69" t="str">
        <f>IFERROR(IF((H316+I315)*(1+('Mortgage Calculator'!$S$12/12))&gt;R316,"stop",(H316+I315)*(1+('Mortgage Calculator'!$S$12/12))),"")</f>
        <v/>
      </c>
      <c r="M316" s="83" t="str">
        <f t="shared" si="27"/>
        <v/>
      </c>
      <c r="N316" s="83"/>
      <c r="O316" s="105" t="str">
        <f>IFERROR(M316/M316*'Mortgage Calculator'!$U$28,"")</f>
        <v/>
      </c>
      <c r="P316" s="105" t="str">
        <f>IFERROR(M316/M316*R315*'Mortgage Calculator'!$C$13/12,"")</f>
        <v/>
      </c>
      <c r="Q316" s="105" t="str">
        <f t="shared" si="28"/>
        <v/>
      </c>
      <c r="R316" s="105" t="str">
        <f t="shared" si="29"/>
        <v/>
      </c>
    </row>
    <row r="317" spans="3:18" x14ac:dyDescent="0.3">
      <c r="C317" s="1" t="e">
        <f t="shared" si="25"/>
        <v>#VALUE!</v>
      </c>
      <c r="D317" s="1" t="str">
        <f t="shared" si="24"/>
        <v/>
      </c>
      <c r="F317" s="52" t="e">
        <f>'Mortgage Calculator'!$G$9*((1+'Mortgage Calculator'!$P$8)^(MISC!C317-1))</f>
        <v>#VALUE!</v>
      </c>
      <c r="G317" s="70" t="e">
        <f>'Mortgage Calculator'!$U$25*((1+'Mortgage Calculator'!$S$10)^(MISC!C317-1))</f>
        <v>#VALUE!</v>
      </c>
      <c r="H317" s="52" t="e">
        <f t="shared" si="26"/>
        <v>#VALUE!</v>
      </c>
      <c r="I317" s="69" t="str">
        <f>IFERROR(IF((H317+I316)*(1+('Mortgage Calculator'!$S$12/12))&gt;R317,"stop",(H317+I316)*(1+('Mortgage Calculator'!$S$12/12))),"")</f>
        <v/>
      </c>
      <c r="M317" s="83" t="str">
        <f t="shared" si="27"/>
        <v/>
      </c>
      <c r="N317" s="83"/>
      <c r="O317" s="105" t="str">
        <f>IFERROR(M317/M317*'Mortgage Calculator'!$U$28,"")</f>
        <v/>
      </c>
      <c r="P317" s="105" t="str">
        <f>IFERROR(M317/M317*R316*'Mortgage Calculator'!$C$13/12,"")</f>
        <v/>
      </c>
      <c r="Q317" s="105" t="str">
        <f t="shared" si="28"/>
        <v/>
      </c>
      <c r="R317" s="105" t="str">
        <f t="shared" si="29"/>
        <v/>
      </c>
    </row>
    <row r="318" spans="3:18" x14ac:dyDescent="0.3">
      <c r="C318" s="1" t="e">
        <f t="shared" si="25"/>
        <v>#VALUE!</v>
      </c>
      <c r="D318" s="1" t="str">
        <f t="shared" si="24"/>
        <v/>
      </c>
      <c r="F318" s="52" t="e">
        <f>'Mortgage Calculator'!$G$9*((1+'Mortgage Calculator'!$P$8)^(MISC!C318-1))</f>
        <v>#VALUE!</v>
      </c>
      <c r="G318" s="70" t="e">
        <f>'Mortgage Calculator'!$U$25*((1+'Mortgage Calculator'!$S$10)^(MISC!C318-1))</f>
        <v>#VALUE!</v>
      </c>
      <c r="H318" s="52" t="e">
        <f t="shared" si="26"/>
        <v>#VALUE!</v>
      </c>
      <c r="I318" s="69" t="str">
        <f>IFERROR(IF((H318+I317)*(1+('Mortgage Calculator'!$S$12/12))&gt;R318,"stop",(H318+I317)*(1+('Mortgage Calculator'!$S$12/12))),"")</f>
        <v/>
      </c>
      <c r="M318" s="83" t="str">
        <f t="shared" si="27"/>
        <v/>
      </c>
      <c r="N318" s="83"/>
      <c r="O318" s="105" t="str">
        <f>IFERROR(M318/M318*'Mortgage Calculator'!$U$28,"")</f>
        <v/>
      </c>
      <c r="P318" s="105" t="str">
        <f>IFERROR(M318/M318*R317*'Mortgage Calculator'!$C$13/12,"")</f>
        <v/>
      </c>
      <c r="Q318" s="105" t="str">
        <f t="shared" si="28"/>
        <v/>
      </c>
      <c r="R318" s="105" t="str">
        <f t="shared" si="29"/>
        <v/>
      </c>
    </row>
    <row r="319" spans="3:18" x14ac:dyDescent="0.3">
      <c r="C319" s="1" t="e">
        <f t="shared" si="25"/>
        <v>#VALUE!</v>
      </c>
      <c r="D319" s="1" t="str">
        <f t="shared" si="24"/>
        <v/>
      </c>
      <c r="F319" s="52" t="e">
        <f>'Mortgage Calculator'!$G$9*((1+'Mortgage Calculator'!$P$8)^(MISC!C319-1))</f>
        <v>#VALUE!</v>
      </c>
      <c r="G319" s="70" t="e">
        <f>'Mortgage Calculator'!$U$25*((1+'Mortgage Calculator'!$S$10)^(MISC!C319-1))</f>
        <v>#VALUE!</v>
      </c>
      <c r="H319" s="52" t="e">
        <f t="shared" si="26"/>
        <v>#VALUE!</v>
      </c>
      <c r="I319" s="69" t="str">
        <f>IFERROR(IF((H319+I318)*(1+('Mortgage Calculator'!$S$12/12))&gt;R319,"stop",(H319+I318)*(1+('Mortgage Calculator'!$S$12/12))),"")</f>
        <v/>
      </c>
      <c r="M319" s="83" t="str">
        <f t="shared" si="27"/>
        <v/>
      </c>
      <c r="N319" s="83"/>
      <c r="O319" s="105" t="str">
        <f>IFERROR(M319/M319*'Mortgage Calculator'!$U$28,"")</f>
        <v/>
      </c>
      <c r="P319" s="105" t="str">
        <f>IFERROR(M319/M319*R318*'Mortgage Calculator'!$C$13/12,"")</f>
        <v/>
      </c>
      <c r="Q319" s="105" t="str">
        <f t="shared" si="28"/>
        <v/>
      </c>
      <c r="R319" s="105" t="str">
        <f t="shared" si="29"/>
        <v/>
      </c>
    </row>
    <row r="320" spans="3:18" x14ac:dyDescent="0.3">
      <c r="C320" s="1" t="e">
        <f t="shared" si="25"/>
        <v>#VALUE!</v>
      </c>
      <c r="D320" s="1" t="str">
        <f t="shared" si="24"/>
        <v/>
      </c>
      <c r="F320" s="52" t="e">
        <f>'Mortgage Calculator'!$G$9*((1+'Mortgage Calculator'!$P$8)^(MISC!C320-1))</f>
        <v>#VALUE!</v>
      </c>
      <c r="G320" s="70" t="e">
        <f>'Mortgage Calculator'!$U$25*((1+'Mortgage Calculator'!$S$10)^(MISC!C320-1))</f>
        <v>#VALUE!</v>
      </c>
      <c r="H320" s="52" t="e">
        <f t="shared" si="26"/>
        <v>#VALUE!</v>
      </c>
      <c r="I320" s="69" t="str">
        <f>IFERROR(IF((H320+I319)*(1+('Mortgage Calculator'!$S$12/12))&gt;R320,"stop",(H320+I319)*(1+('Mortgage Calculator'!$S$12/12))),"")</f>
        <v/>
      </c>
      <c r="M320" s="83" t="str">
        <f t="shared" si="27"/>
        <v/>
      </c>
      <c r="N320" s="83"/>
      <c r="O320" s="105" t="str">
        <f>IFERROR(M320/M320*'Mortgage Calculator'!$U$28,"")</f>
        <v/>
      </c>
      <c r="P320" s="105" t="str">
        <f>IFERROR(M320/M320*R319*'Mortgage Calculator'!$C$13/12,"")</f>
        <v/>
      </c>
      <c r="Q320" s="105" t="str">
        <f t="shared" si="28"/>
        <v/>
      </c>
      <c r="R320" s="105" t="str">
        <f t="shared" si="29"/>
        <v/>
      </c>
    </row>
    <row r="321" spans="3:18" x14ac:dyDescent="0.3">
      <c r="C321" s="1" t="e">
        <f t="shared" si="25"/>
        <v>#VALUE!</v>
      </c>
      <c r="D321" s="1" t="str">
        <f t="shared" si="24"/>
        <v/>
      </c>
      <c r="F321" s="52" t="e">
        <f>'Mortgage Calculator'!$G$9*((1+'Mortgage Calculator'!$P$8)^(MISC!C321-1))</f>
        <v>#VALUE!</v>
      </c>
      <c r="G321" s="70" t="e">
        <f>'Mortgage Calculator'!$U$25*((1+'Mortgage Calculator'!$S$10)^(MISC!C321-1))</f>
        <v>#VALUE!</v>
      </c>
      <c r="H321" s="52" t="e">
        <f t="shared" si="26"/>
        <v>#VALUE!</v>
      </c>
      <c r="I321" s="69" t="str">
        <f>IFERROR(IF((H321+I320)*(1+('Mortgage Calculator'!$S$12/12))&gt;R321,"stop",(H321+I320)*(1+('Mortgage Calculator'!$S$12/12))),"")</f>
        <v/>
      </c>
      <c r="M321" s="83" t="str">
        <f t="shared" si="27"/>
        <v/>
      </c>
      <c r="N321" s="83"/>
      <c r="O321" s="105" t="str">
        <f>IFERROR(M321/M321*'Mortgage Calculator'!$U$28,"")</f>
        <v/>
      </c>
      <c r="P321" s="105" t="str">
        <f>IFERROR(M321/M321*R320*'Mortgage Calculator'!$C$13/12,"")</f>
        <v/>
      </c>
      <c r="Q321" s="105" t="str">
        <f t="shared" si="28"/>
        <v/>
      </c>
      <c r="R321" s="105" t="str">
        <f t="shared" si="29"/>
        <v/>
      </c>
    </row>
    <row r="322" spans="3:18" x14ac:dyDescent="0.3">
      <c r="C322" s="1" t="e">
        <f t="shared" si="25"/>
        <v>#VALUE!</v>
      </c>
      <c r="D322" s="1" t="str">
        <f t="shared" si="24"/>
        <v/>
      </c>
      <c r="F322" s="52" t="e">
        <f>'Mortgage Calculator'!$G$9*((1+'Mortgage Calculator'!$P$8)^(MISC!C322-1))</f>
        <v>#VALUE!</v>
      </c>
      <c r="G322" s="70" t="e">
        <f>'Mortgage Calculator'!$U$25*((1+'Mortgage Calculator'!$S$10)^(MISC!C322-1))</f>
        <v>#VALUE!</v>
      </c>
      <c r="H322" s="52" t="e">
        <f t="shared" si="26"/>
        <v>#VALUE!</v>
      </c>
      <c r="I322" s="69" t="str">
        <f>IFERROR(IF((H322+I321)*(1+('Mortgage Calculator'!$S$12/12))&gt;R322,"stop",(H322+I321)*(1+('Mortgage Calculator'!$S$12/12))),"")</f>
        <v/>
      </c>
      <c r="M322" s="83" t="str">
        <f t="shared" si="27"/>
        <v/>
      </c>
      <c r="N322" s="83"/>
      <c r="O322" s="105" t="str">
        <f>IFERROR(M322/M322*'Mortgage Calculator'!$U$28,"")</f>
        <v/>
      </c>
      <c r="P322" s="105" t="str">
        <f>IFERROR(M322/M322*R321*'Mortgage Calculator'!$C$13/12,"")</f>
        <v/>
      </c>
      <c r="Q322" s="105" t="str">
        <f t="shared" si="28"/>
        <v/>
      </c>
      <c r="R322" s="105" t="str">
        <f t="shared" si="29"/>
        <v/>
      </c>
    </row>
    <row r="323" spans="3:18" x14ac:dyDescent="0.3">
      <c r="C323" s="1" t="e">
        <f t="shared" si="25"/>
        <v>#VALUE!</v>
      </c>
      <c r="D323" s="1" t="str">
        <f t="shared" si="24"/>
        <v/>
      </c>
      <c r="F323" s="52" t="e">
        <f>'Mortgage Calculator'!$G$9*((1+'Mortgage Calculator'!$P$8)^(MISC!C323-1))</f>
        <v>#VALUE!</v>
      </c>
      <c r="G323" s="70" t="e">
        <f>'Mortgage Calculator'!$U$25*((1+'Mortgage Calculator'!$S$10)^(MISC!C323-1))</f>
        <v>#VALUE!</v>
      </c>
      <c r="H323" s="52" t="e">
        <f t="shared" si="26"/>
        <v>#VALUE!</v>
      </c>
      <c r="I323" s="69" t="str">
        <f>IFERROR(IF((H323+I322)*(1+('Mortgage Calculator'!$S$12/12))&gt;R323,"stop",(H323+I322)*(1+('Mortgage Calculator'!$S$12/12))),"")</f>
        <v/>
      </c>
      <c r="M323" s="83" t="str">
        <f t="shared" si="27"/>
        <v/>
      </c>
      <c r="N323" s="83"/>
      <c r="O323" s="105" t="str">
        <f>IFERROR(M323/M323*'Mortgage Calculator'!$U$28,"")</f>
        <v/>
      </c>
      <c r="P323" s="105" t="str">
        <f>IFERROR(M323/M323*R322*'Mortgage Calculator'!$C$13/12,"")</f>
        <v/>
      </c>
      <c r="Q323" s="105" t="str">
        <f t="shared" si="28"/>
        <v/>
      </c>
      <c r="R323" s="105" t="str">
        <f t="shared" si="29"/>
        <v/>
      </c>
    </row>
    <row r="324" spans="3:18" x14ac:dyDescent="0.3">
      <c r="C324" s="1" t="e">
        <f t="shared" si="25"/>
        <v>#VALUE!</v>
      </c>
      <c r="D324" s="1" t="str">
        <f t="shared" si="24"/>
        <v/>
      </c>
      <c r="F324" s="52" t="e">
        <f>'Mortgage Calculator'!$G$9*((1+'Mortgage Calculator'!$P$8)^(MISC!C324-1))</f>
        <v>#VALUE!</v>
      </c>
      <c r="G324" s="70" t="e">
        <f>'Mortgage Calculator'!$U$25*((1+'Mortgage Calculator'!$S$10)^(MISC!C324-1))</f>
        <v>#VALUE!</v>
      </c>
      <c r="H324" s="52" t="e">
        <f t="shared" si="26"/>
        <v>#VALUE!</v>
      </c>
      <c r="I324" s="69" t="str">
        <f>IFERROR(IF((H324+I323)*(1+('Mortgage Calculator'!$S$12/12))&gt;R324,"stop",(H324+I323)*(1+('Mortgage Calculator'!$S$12/12))),"")</f>
        <v/>
      </c>
      <c r="M324" s="83" t="str">
        <f t="shared" si="27"/>
        <v/>
      </c>
      <c r="N324" s="83"/>
      <c r="O324" s="105" t="str">
        <f>IFERROR(M324/M324*'Mortgage Calculator'!$U$28,"")</f>
        <v/>
      </c>
      <c r="P324" s="105" t="str">
        <f>IFERROR(M324/M324*R323*'Mortgage Calculator'!$C$13/12,"")</f>
        <v/>
      </c>
      <c r="Q324" s="105" t="str">
        <f t="shared" si="28"/>
        <v/>
      </c>
      <c r="R324" s="105" t="str">
        <f t="shared" si="29"/>
        <v/>
      </c>
    </row>
    <row r="325" spans="3:18" x14ac:dyDescent="0.3">
      <c r="C325" s="1" t="e">
        <f t="shared" si="25"/>
        <v>#VALUE!</v>
      </c>
      <c r="D325" s="1" t="str">
        <f t="shared" si="24"/>
        <v/>
      </c>
      <c r="F325" s="52" t="e">
        <f>'Mortgage Calculator'!$G$9*((1+'Mortgage Calculator'!$P$8)^(MISC!C325-1))</f>
        <v>#VALUE!</v>
      </c>
      <c r="G325" s="70" t="e">
        <f>'Mortgage Calculator'!$U$25*((1+'Mortgage Calculator'!$S$10)^(MISC!C325-1))</f>
        <v>#VALUE!</v>
      </c>
      <c r="H325" s="52" t="e">
        <f t="shared" si="26"/>
        <v>#VALUE!</v>
      </c>
      <c r="I325" s="69" t="str">
        <f>IFERROR(IF((H325+I324)*(1+('Mortgage Calculator'!$S$12/12))&gt;R325,"stop",(H325+I324)*(1+('Mortgage Calculator'!$S$12/12))),"")</f>
        <v/>
      </c>
      <c r="M325" s="83" t="str">
        <f t="shared" si="27"/>
        <v/>
      </c>
      <c r="N325" s="83"/>
      <c r="O325" s="105" t="str">
        <f>IFERROR(M325/M325*'Mortgage Calculator'!$U$28,"")</f>
        <v/>
      </c>
      <c r="P325" s="105" t="str">
        <f>IFERROR(M325/M325*R324*'Mortgage Calculator'!$C$13/12,"")</f>
        <v/>
      </c>
      <c r="Q325" s="105" t="str">
        <f t="shared" si="28"/>
        <v/>
      </c>
      <c r="R325" s="105" t="str">
        <f t="shared" si="29"/>
        <v/>
      </c>
    </row>
    <row r="326" spans="3:18" x14ac:dyDescent="0.3">
      <c r="C326" s="1" t="e">
        <f t="shared" si="25"/>
        <v>#VALUE!</v>
      </c>
      <c r="D326" s="1" t="str">
        <f t="shared" si="24"/>
        <v/>
      </c>
      <c r="F326" s="52" t="e">
        <f>'Mortgage Calculator'!$G$9*((1+'Mortgage Calculator'!$P$8)^(MISC!C326-1))</f>
        <v>#VALUE!</v>
      </c>
      <c r="G326" s="70" t="e">
        <f>'Mortgage Calculator'!$U$25*((1+'Mortgage Calculator'!$S$10)^(MISC!C326-1))</f>
        <v>#VALUE!</v>
      </c>
      <c r="H326" s="52" t="e">
        <f t="shared" si="26"/>
        <v>#VALUE!</v>
      </c>
      <c r="I326" s="69" t="str">
        <f>IFERROR(IF((H326+I325)*(1+('Mortgage Calculator'!$S$12/12))&gt;R326,"stop",(H326+I325)*(1+('Mortgage Calculator'!$S$12/12))),"")</f>
        <v/>
      </c>
      <c r="M326" s="83" t="str">
        <f t="shared" si="27"/>
        <v/>
      </c>
      <c r="N326" s="83"/>
      <c r="O326" s="105" t="str">
        <f>IFERROR(M326/M326*'Mortgage Calculator'!$U$28,"")</f>
        <v/>
      </c>
      <c r="P326" s="105" t="str">
        <f>IFERROR(M326/M326*R325*'Mortgage Calculator'!$C$13/12,"")</f>
        <v/>
      </c>
      <c r="Q326" s="105" t="str">
        <f t="shared" si="28"/>
        <v/>
      </c>
      <c r="R326" s="105" t="str">
        <f t="shared" si="29"/>
        <v/>
      </c>
    </row>
    <row r="327" spans="3:18" x14ac:dyDescent="0.3">
      <c r="C327" s="1" t="e">
        <f t="shared" si="25"/>
        <v>#VALUE!</v>
      </c>
      <c r="D327" s="1" t="str">
        <f t="shared" si="24"/>
        <v/>
      </c>
      <c r="F327" s="52" t="e">
        <f>'Mortgage Calculator'!$G$9*((1+'Mortgage Calculator'!$P$8)^(MISC!C327-1))</f>
        <v>#VALUE!</v>
      </c>
      <c r="G327" s="70" t="e">
        <f>'Mortgage Calculator'!$U$25*((1+'Mortgage Calculator'!$S$10)^(MISC!C327-1))</f>
        <v>#VALUE!</v>
      </c>
      <c r="H327" s="52" t="e">
        <f t="shared" si="26"/>
        <v>#VALUE!</v>
      </c>
      <c r="I327" s="69" t="str">
        <f>IFERROR(IF((H327+I326)*(1+('Mortgage Calculator'!$S$12/12))&gt;R327,"stop",(H327+I326)*(1+('Mortgage Calculator'!$S$12/12))),"")</f>
        <v/>
      </c>
      <c r="M327" s="83" t="str">
        <f t="shared" si="27"/>
        <v/>
      </c>
      <c r="N327" s="83"/>
      <c r="O327" s="105" t="str">
        <f>IFERROR(M327/M327*'Mortgage Calculator'!$U$28,"")</f>
        <v/>
      </c>
      <c r="P327" s="105" t="str">
        <f>IFERROR(M327/M327*R326*'Mortgage Calculator'!$C$13/12,"")</f>
        <v/>
      </c>
      <c r="Q327" s="105" t="str">
        <f t="shared" si="28"/>
        <v/>
      </c>
      <c r="R327" s="105" t="str">
        <f t="shared" si="29"/>
        <v/>
      </c>
    </row>
    <row r="328" spans="3:18" x14ac:dyDescent="0.3">
      <c r="C328" s="1" t="e">
        <f t="shared" si="25"/>
        <v>#VALUE!</v>
      </c>
      <c r="D328" s="1" t="str">
        <f t="shared" si="24"/>
        <v/>
      </c>
      <c r="F328" s="52" t="e">
        <f>'Mortgage Calculator'!$G$9*((1+'Mortgage Calculator'!$P$8)^(MISC!C328-1))</f>
        <v>#VALUE!</v>
      </c>
      <c r="G328" s="70" t="e">
        <f>'Mortgage Calculator'!$U$25*((1+'Mortgage Calculator'!$S$10)^(MISC!C328-1))</f>
        <v>#VALUE!</v>
      </c>
      <c r="H328" s="52" t="e">
        <f t="shared" si="26"/>
        <v>#VALUE!</v>
      </c>
      <c r="I328" s="69" t="str">
        <f>IFERROR(IF((H328+I327)*(1+('Mortgage Calculator'!$S$12/12))&gt;R328,"stop",(H328+I327)*(1+('Mortgage Calculator'!$S$12/12))),"")</f>
        <v/>
      </c>
      <c r="M328" s="83" t="str">
        <f t="shared" si="27"/>
        <v/>
      </c>
      <c r="N328" s="83"/>
      <c r="O328" s="105" t="str">
        <f>IFERROR(M328/M328*'Mortgage Calculator'!$U$28,"")</f>
        <v/>
      </c>
      <c r="P328" s="105" t="str">
        <f>IFERROR(M328/M328*R327*'Mortgage Calculator'!$C$13/12,"")</f>
        <v/>
      </c>
      <c r="Q328" s="105" t="str">
        <f t="shared" si="28"/>
        <v/>
      </c>
      <c r="R328" s="105" t="str">
        <f t="shared" si="29"/>
        <v/>
      </c>
    </row>
    <row r="329" spans="3:18" x14ac:dyDescent="0.3">
      <c r="C329" s="1" t="e">
        <f t="shared" si="25"/>
        <v>#VALUE!</v>
      </c>
      <c r="D329" s="1" t="str">
        <f t="shared" si="24"/>
        <v/>
      </c>
      <c r="F329" s="52" t="e">
        <f>'Mortgage Calculator'!$G$9*((1+'Mortgage Calculator'!$P$8)^(MISC!C329-1))</f>
        <v>#VALUE!</v>
      </c>
      <c r="G329" s="70" t="e">
        <f>'Mortgage Calculator'!$U$25*((1+'Mortgage Calculator'!$S$10)^(MISC!C329-1))</f>
        <v>#VALUE!</v>
      </c>
      <c r="H329" s="52" t="e">
        <f t="shared" si="26"/>
        <v>#VALUE!</v>
      </c>
      <c r="I329" s="69" t="str">
        <f>IFERROR(IF((H329+I328)*(1+('Mortgage Calculator'!$S$12/12))&gt;R329,"stop",(H329+I328)*(1+('Mortgage Calculator'!$S$12/12))),"")</f>
        <v/>
      </c>
      <c r="M329" s="83" t="str">
        <f t="shared" si="27"/>
        <v/>
      </c>
      <c r="N329" s="83"/>
      <c r="O329" s="105" t="str">
        <f>IFERROR(M329/M329*'Mortgage Calculator'!$U$28,"")</f>
        <v/>
      </c>
      <c r="P329" s="105" t="str">
        <f>IFERROR(M329/M329*R328*'Mortgage Calculator'!$C$13/12,"")</f>
        <v/>
      </c>
      <c r="Q329" s="105" t="str">
        <f t="shared" si="28"/>
        <v/>
      </c>
      <c r="R329" s="105" t="str">
        <f t="shared" si="29"/>
        <v/>
      </c>
    </row>
    <row r="330" spans="3:18" x14ac:dyDescent="0.3">
      <c r="C330" s="1" t="e">
        <f t="shared" si="25"/>
        <v>#VALUE!</v>
      </c>
      <c r="D330" s="1" t="str">
        <f t="shared" ref="D330:D393" si="30">IF(E330="","",ROW()-9)</f>
        <v/>
      </c>
      <c r="F330" s="52" t="e">
        <f>'Mortgage Calculator'!$G$9*((1+'Mortgage Calculator'!$P$8)^(MISC!C330-1))</f>
        <v>#VALUE!</v>
      </c>
      <c r="G330" s="70" t="e">
        <f>'Mortgage Calculator'!$U$25*((1+'Mortgage Calculator'!$S$10)^(MISC!C330-1))</f>
        <v>#VALUE!</v>
      </c>
      <c r="H330" s="52" t="e">
        <f t="shared" si="26"/>
        <v>#VALUE!</v>
      </c>
      <c r="I330" s="69" t="str">
        <f>IFERROR(IF((H330+I329)*(1+('Mortgage Calculator'!$S$12/12))&gt;R330,"stop",(H330+I329)*(1+('Mortgage Calculator'!$S$12/12))),"")</f>
        <v/>
      </c>
      <c r="M330" s="83" t="str">
        <f t="shared" si="27"/>
        <v/>
      </c>
      <c r="N330" s="83"/>
      <c r="O330" s="105" t="str">
        <f>IFERROR(M330/M330*'Mortgage Calculator'!$U$28,"")</f>
        <v/>
      </c>
      <c r="P330" s="105" t="str">
        <f>IFERROR(M330/M330*R329*'Mortgage Calculator'!$C$13/12,"")</f>
        <v/>
      </c>
      <c r="Q330" s="105" t="str">
        <f t="shared" si="28"/>
        <v/>
      </c>
      <c r="R330" s="105" t="str">
        <f t="shared" si="29"/>
        <v/>
      </c>
    </row>
    <row r="331" spans="3:18" x14ac:dyDescent="0.3">
      <c r="C331" s="1" t="e">
        <f t="shared" ref="C331:C369" si="31">ROUNDUP(D331/12,0)</f>
        <v>#VALUE!</v>
      </c>
      <c r="D331" s="1" t="str">
        <f t="shared" si="30"/>
        <v/>
      </c>
      <c r="F331" s="52" t="e">
        <f>'Mortgage Calculator'!$G$9*((1+'Mortgage Calculator'!$P$8)^(MISC!C331-1))</f>
        <v>#VALUE!</v>
      </c>
      <c r="G331" s="70" t="e">
        <f>'Mortgage Calculator'!$U$25*((1+'Mortgage Calculator'!$S$10)^(MISC!C331-1))</f>
        <v>#VALUE!</v>
      </c>
      <c r="H331" s="52" t="e">
        <f t="shared" ref="H331:H394" si="32">F331-G331</f>
        <v>#VALUE!</v>
      </c>
      <c r="I331" s="69" t="str">
        <f>IFERROR(IF((H331+I330)*(1+('Mortgage Calculator'!$S$12/12))&gt;R331,"stop",(H331+I330)*(1+('Mortgage Calculator'!$S$12/12))),"")</f>
        <v/>
      </c>
      <c r="M331" s="83" t="str">
        <f t="shared" ref="M331:M394" si="33">IF(N331="","",ROW()-9)</f>
        <v/>
      </c>
      <c r="N331" s="83"/>
      <c r="O331" s="105" t="str">
        <f>IFERROR(M331/M331*'Mortgage Calculator'!$U$28,"")</f>
        <v/>
      </c>
      <c r="P331" s="105" t="str">
        <f>IFERROR(M331/M331*R330*'Mortgage Calculator'!$C$13/12,"")</f>
        <v/>
      </c>
      <c r="Q331" s="105" t="str">
        <f t="shared" ref="Q331:Q394" si="34">IFERROR(O331-P331,"")</f>
        <v/>
      </c>
      <c r="R331" s="105" t="str">
        <f t="shared" ref="R331:R394" si="35">IFERROR(R330-Q331,"")</f>
        <v/>
      </c>
    </row>
    <row r="332" spans="3:18" x14ac:dyDescent="0.3">
      <c r="C332" s="1" t="e">
        <f t="shared" si="31"/>
        <v>#VALUE!</v>
      </c>
      <c r="D332" s="1" t="str">
        <f t="shared" si="30"/>
        <v/>
      </c>
      <c r="F332" s="52" t="e">
        <f>'Mortgage Calculator'!$G$9*((1+'Mortgage Calculator'!$P$8)^(MISC!C332-1))</f>
        <v>#VALUE!</v>
      </c>
      <c r="G332" s="70" t="e">
        <f>'Mortgage Calculator'!$U$25*((1+'Mortgage Calculator'!$S$10)^(MISC!C332-1))</f>
        <v>#VALUE!</v>
      </c>
      <c r="H332" s="52" t="e">
        <f t="shared" si="32"/>
        <v>#VALUE!</v>
      </c>
      <c r="I332" s="69" t="str">
        <f>IFERROR(IF((H332+I331)*(1+('Mortgage Calculator'!$S$12/12))&gt;R332,"stop",(H332+I331)*(1+('Mortgage Calculator'!$S$12/12))),"")</f>
        <v/>
      </c>
      <c r="M332" s="83" t="str">
        <f t="shared" si="33"/>
        <v/>
      </c>
      <c r="N332" s="83"/>
      <c r="O332" s="105" t="str">
        <f>IFERROR(M332/M332*'Mortgage Calculator'!$U$28,"")</f>
        <v/>
      </c>
      <c r="P332" s="105" t="str">
        <f>IFERROR(M332/M332*R331*'Mortgage Calculator'!$C$13/12,"")</f>
        <v/>
      </c>
      <c r="Q332" s="105" t="str">
        <f t="shared" si="34"/>
        <v/>
      </c>
      <c r="R332" s="105" t="str">
        <f t="shared" si="35"/>
        <v/>
      </c>
    </row>
    <row r="333" spans="3:18" x14ac:dyDescent="0.3">
      <c r="C333" s="1" t="e">
        <f t="shared" si="31"/>
        <v>#VALUE!</v>
      </c>
      <c r="D333" s="1" t="str">
        <f t="shared" si="30"/>
        <v/>
      </c>
      <c r="F333" s="52" t="e">
        <f>'Mortgage Calculator'!$G$9*((1+'Mortgage Calculator'!$P$8)^(MISC!C333-1))</f>
        <v>#VALUE!</v>
      </c>
      <c r="G333" s="70" t="e">
        <f>'Mortgage Calculator'!$U$25*((1+'Mortgage Calculator'!$S$10)^(MISC!C333-1))</f>
        <v>#VALUE!</v>
      </c>
      <c r="H333" s="52" t="e">
        <f t="shared" si="32"/>
        <v>#VALUE!</v>
      </c>
      <c r="I333" s="69" t="str">
        <f>IFERROR(IF((H333+I332)*(1+('Mortgage Calculator'!$S$12/12))&gt;R333,"stop",(H333+I332)*(1+('Mortgage Calculator'!$S$12/12))),"")</f>
        <v/>
      </c>
      <c r="M333" s="83" t="str">
        <f t="shared" si="33"/>
        <v/>
      </c>
      <c r="N333" s="83"/>
      <c r="O333" s="105" t="str">
        <f>IFERROR(M333/M333*'Mortgage Calculator'!$U$28,"")</f>
        <v/>
      </c>
      <c r="P333" s="105" t="str">
        <f>IFERROR(M333/M333*R332*'Mortgage Calculator'!$C$13/12,"")</f>
        <v/>
      </c>
      <c r="Q333" s="105" t="str">
        <f t="shared" si="34"/>
        <v/>
      </c>
      <c r="R333" s="105" t="str">
        <f t="shared" si="35"/>
        <v/>
      </c>
    </row>
    <row r="334" spans="3:18" x14ac:dyDescent="0.3">
      <c r="C334" s="1" t="e">
        <f t="shared" si="31"/>
        <v>#VALUE!</v>
      </c>
      <c r="D334" s="1" t="str">
        <f t="shared" si="30"/>
        <v/>
      </c>
      <c r="F334" s="52" t="e">
        <f>'Mortgage Calculator'!$G$9*((1+'Mortgage Calculator'!$P$8)^(MISC!C334-1))</f>
        <v>#VALUE!</v>
      </c>
      <c r="G334" s="70" t="e">
        <f>'Mortgage Calculator'!$U$25*((1+'Mortgage Calculator'!$S$10)^(MISC!C334-1))</f>
        <v>#VALUE!</v>
      </c>
      <c r="H334" s="52" t="e">
        <f t="shared" si="32"/>
        <v>#VALUE!</v>
      </c>
      <c r="I334" s="69" t="str">
        <f>IFERROR(IF((H334+I333)*(1+('Mortgage Calculator'!$S$12/12))&gt;R334,"stop",(H334+I333)*(1+('Mortgage Calculator'!$S$12/12))),"")</f>
        <v/>
      </c>
      <c r="M334" s="83" t="str">
        <f t="shared" si="33"/>
        <v/>
      </c>
      <c r="N334" s="83"/>
      <c r="O334" s="105" t="str">
        <f>IFERROR(M334/M334*'Mortgage Calculator'!$U$28,"")</f>
        <v/>
      </c>
      <c r="P334" s="105" t="str">
        <f>IFERROR(M334/M334*R333*'Mortgage Calculator'!$C$13/12,"")</f>
        <v/>
      </c>
      <c r="Q334" s="105" t="str">
        <f t="shared" si="34"/>
        <v/>
      </c>
      <c r="R334" s="105" t="str">
        <f t="shared" si="35"/>
        <v/>
      </c>
    </row>
    <row r="335" spans="3:18" x14ac:dyDescent="0.3">
      <c r="C335" s="1" t="e">
        <f t="shared" si="31"/>
        <v>#VALUE!</v>
      </c>
      <c r="D335" s="1" t="str">
        <f t="shared" si="30"/>
        <v/>
      </c>
      <c r="F335" s="52" t="e">
        <f>'Mortgage Calculator'!$G$9*((1+'Mortgage Calculator'!$P$8)^(MISC!C335-1))</f>
        <v>#VALUE!</v>
      </c>
      <c r="G335" s="70" t="e">
        <f>'Mortgage Calculator'!$U$25*((1+'Mortgage Calculator'!$S$10)^(MISC!C335-1))</f>
        <v>#VALUE!</v>
      </c>
      <c r="H335" s="52" t="e">
        <f t="shared" si="32"/>
        <v>#VALUE!</v>
      </c>
      <c r="I335" s="69" t="str">
        <f>IFERROR(IF((H335+I334)*(1+('Mortgage Calculator'!$S$12/12))&gt;R335,"stop",(H335+I334)*(1+('Mortgage Calculator'!$S$12/12))),"")</f>
        <v/>
      </c>
      <c r="M335" s="83" t="str">
        <f t="shared" si="33"/>
        <v/>
      </c>
      <c r="N335" s="83"/>
      <c r="O335" s="105" t="str">
        <f>IFERROR(M335/M335*'Mortgage Calculator'!$U$28,"")</f>
        <v/>
      </c>
      <c r="P335" s="105" t="str">
        <f>IFERROR(M335/M335*R334*'Mortgage Calculator'!$C$13/12,"")</f>
        <v/>
      </c>
      <c r="Q335" s="105" t="str">
        <f t="shared" si="34"/>
        <v/>
      </c>
      <c r="R335" s="105" t="str">
        <f t="shared" si="35"/>
        <v/>
      </c>
    </row>
    <row r="336" spans="3:18" x14ac:dyDescent="0.3">
      <c r="C336" s="1" t="e">
        <f t="shared" si="31"/>
        <v>#VALUE!</v>
      </c>
      <c r="D336" s="1" t="str">
        <f t="shared" si="30"/>
        <v/>
      </c>
      <c r="F336" s="52" t="e">
        <f>'Mortgage Calculator'!$G$9*((1+'Mortgage Calculator'!$P$8)^(MISC!C336-1))</f>
        <v>#VALUE!</v>
      </c>
      <c r="G336" s="70" t="e">
        <f>'Mortgage Calculator'!$U$25*((1+'Mortgage Calculator'!$S$10)^(MISC!C336-1))</f>
        <v>#VALUE!</v>
      </c>
      <c r="H336" s="52" t="e">
        <f t="shared" si="32"/>
        <v>#VALUE!</v>
      </c>
      <c r="I336" s="69" t="str">
        <f>IFERROR(IF((H336+I335)*(1+('Mortgage Calculator'!$S$12/12))&gt;R336,"stop",(H336+I335)*(1+('Mortgage Calculator'!$S$12/12))),"")</f>
        <v/>
      </c>
      <c r="M336" s="83" t="str">
        <f t="shared" si="33"/>
        <v/>
      </c>
      <c r="N336" s="83"/>
      <c r="O336" s="105" t="str">
        <f>IFERROR(M336/M336*'Mortgage Calculator'!$U$28,"")</f>
        <v/>
      </c>
      <c r="P336" s="105" t="str">
        <f>IFERROR(M336/M336*R335*'Mortgage Calculator'!$C$13/12,"")</f>
        <v/>
      </c>
      <c r="Q336" s="105" t="str">
        <f t="shared" si="34"/>
        <v/>
      </c>
      <c r="R336" s="105" t="str">
        <f t="shared" si="35"/>
        <v/>
      </c>
    </row>
    <row r="337" spans="3:18" x14ac:dyDescent="0.3">
      <c r="C337" s="1" t="e">
        <f t="shared" si="31"/>
        <v>#VALUE!</v>
      </c>
      <c r="D337" s="1" t="str">
        <f t="shared" si="30"/>
        <v/>
      </c>
      <c r="F337" s="52" t="e">
        <f>'Mortgage Calculator'!$G$9*((1+'Mortgage Calculator'!$P$8)^(MISC!C337-1))</f>
        <v>#VALUE!</v>
      </c>
      <c r="G337" s="70" t="e">
        <f>'Mortgage Calculator'!$U$25*((1+'Mortgage Calculator'!$S$10)^(MISC!C337-1))</f>
        <v>#VALUE!</v>
      </c>
      <c r="H337" s="52" t="e">
        <f t="shared" si="32"/>
        <v>#VALUE!</v>
      </c>
      <c r="I337" s="69" t="str">
        <f>IFERROR(IF((H337+I336)*(1+('Mortgage Calculator'!$S$12/12))&gt;R337,"stop",(H337+I336)*(1+('Mortgage Calculator'!$S$12/12))),"")</f>
        <v/>
      </c>
      <c r="M337" s="83" t="str">
        <f t="shared" si="33"/>
        <v/>
      </c>
      <c r="N337" s="83"/>
      <c r="O337" s="105" t="str">
        <f>IFERROR(M337/M337*'Mortgage Calculator'!$U$28,"")</f>
        <v/>
      </c>
      <c r="P337" s="105" t="str">
        <f>IFERROR(M337/M337*R336*'Mortgage Calculator'!$C$13/12,"")</f>
        <v/>
      </c>
      <c r="Q337" s="105" t="str">
        <f t="shared" si="34"/>
        <v/>
      </c>
      <c r="R337" s="105" t="str">
        <f t="shared" si="35"/>
        <v/>
      </c>
    </row>
    <row r="338" spans="3:18" x14ac:dyDescent="0.3">
      <c r="C338" s="1" t="e">
        <f t="shared" si="31"/>
        <v>#VALUE!</v>
      </c>
      <c r="D338" s="1" t="str">
        <f t="shared" si="30"/>
        <v/>
      </c>
      <c r="F338" s="52" t="e">
        <f>'Mortgage Calculator'!$G$9*((1+'Mortgage Calculator'!$P$8)^(MISC!C338-1))</f>
        <v>#VALUE!</v>
      </c>
      <c r="G338" s="70" t="e">
        <f>'Mortgage Calculator'!$U$25*((1+'Mortgage Calculator'!$S$10)^(MISC!C338-1))</f>
        <v>#VALUE!</v>
      </c>
      <c r="H338" s="52" t="e">
        <f t="shared" si="32"/>
        <v>#VALUE!</v>
      </c>
      <c r="I338" s="69" t="str">
        <f>IFERROR(IF((H338+I337)*(1+('Mortgage Calculator'!$S$12/12))&gt;R338,"stop",(H338+I337)*(1+('Mortgage Calculator'!$S$12/12))),"")</f>
        <v/>
      </c>
      <c r="M338" s="83" t="str">
        <f t="shared" si="33"/>
        <v/>
      </c>
      <c r="N338" s="83"/>
      <c r="O338" s="105" t="str">
        <f>IFERROR(M338/M338*'Mortgage Calculator'!$U$28,"")</f>
        <v/>
      </c>
      <c r="P338" s="105" t="str">
        <f>IFERROR(M338/M338*R337*'Mortgage Calculator'!$C$13/12,"")</f>
        <v/>
      </c>
      <c r="Q338" s="105" t="str">
        <f t="shared" si="34"/>
        <v/>
      </c>
      <c r="R338" s="105" t="str">
        <f t="shared" si="35"/>
        <v/>
      </c>
    </row>
    <row r="339" spans="3:18" x14ac:dyDescent="0.3">
      <c r="C339" s="1" t="e">
        <f t="shared" si="31"/>
        <v>#VALUE!</v>
      </c>
      <c r="D339" s="1" t="str">
        <f t="shared" si="30"/>
        <v/>
      </c>
      <c r="F339" s="52" t="e">
        <f>'Mortgage Calculator'!$G$9*((1+'Mortgage Calculator'!$P$8)^(MISC!C339-1))</f>
        <v>#VALUE!</v>
      </c>
      <c r="G339" s="70" t="e">
        <f>'Mortgage Calculator'!$U$25*((1+'Mortgage Calculator'!$S$10)^(MISC!C339-1))</f>
        <v>#VALUE!</v>
      </c>
      <c r="H339" s="52" t="e">
        <f t="shared" si="32"/>
        <v>#VALUE!</v>
      </c>
      <c r="I339" s="69" t="str">
        <f>IFERROR(IF((H339+I338)*(1+('Mortgage Calculator'!$S$12/12))&gt;R339,"stop",(H339+I338)*(1+('Mortgage Calculator'!$S$12/12))),"")</f>
        <v/>
      </c>
      <c r="M339" s="83" t="str">
        <f t="shared" si="33"/>
        <v/>
      </c>
      <c r="N339" s="83"/>
      <c r="O339" s="105" t="str">
        <f>IFERROR(M339/M339*'Mortgage Calculator'!$U$28,"")</f>
        <v/>
      </c>
      <c r="P339" s="105" t="str">
        <f>IFERROR(M339/M339*R338*'Mortgage Calculator'!$C$13/12,"")</f>
        <v/>
      </c>
      <c r="Q339" s="105" t="str">
        <f t="shared" si="34"/>
        <v/>
      </c>
      <c r="R339" s="105" t="str">
        <f t="shared" si="35"/>
        <v/>
      </c>
    </row>
    <row r="340" spans="3:18" x14ac:dyDescent="0.3">
      <c r="C340" s="1" t="e">
        <f t="shared" si="31"/>
        <v>#VALUE!</v>
      </c>
      <c r="D340" s="1" t="str">
        <f t="shared" si="30"/>
        <v/>
      </c>
      <c r="F340" s="52" t="e">
        <f>'Mortgage Calculator'!$G$9*((1+'Mortgage Calculator'!$P$8)^(MISC!C340-1))</f>
        <v>#VALUE!</v>
      </c>
      <c r="G340" s="70" t="e">
        <f>'Mortgage Calculator'!$U$25*((1+'Mortgage Calculator'!$S$10)^(MISC!C340-1))</f>
        <v>#VALUE!</v>
      </c>
      <c r="H340" s="52" t="e">
        <f t="shared" si="32"/>
        <v>#VALUE!</v>
      </c>
      <c r="I340" s="69" t="str">
        <f>IFERROR(IF((H340+I339)*(1+('Mortgage Calculator'!$S$12/12))&gt;R340,"stop",(H340+I339)*(1+('Mortgage Calculator'!$S$12/12))),"")</f>
        <v/>
      </c>
      <c r="M340" s="83" t="str">
        <f t="shared" si="33"/>
        <v/>
      </c>
      <c r="N340" s="83"/>
      <c r="O340" s="105" t="str">
        <f>IFERROR(M340/M340*'Mortgage Calculator'!$U$28,"")</f>
        <v/>
      </c>
      <c r="P340" s="105" t="str">
        <f>IFERROR(M340/M340*R339*'Mortgage Calculator'!$C$13/12,"")</f>
        <v/>
      </c>
      <c r="Q340" s="105" t="str">
        <f t="shared" si="34"/>
        <v/>
      </c>
      <c r="R340" s="105" t="str">
        <f t="shared" si="35"/>
        <v/>
      </c>
    </row>
    <row r="341" spans="3:18" x14ac:dyDescent="0.3">
      <c r="C341" s="1" t="e">
        <f t="shared" si="31"/>
        <v>#VALUE!</v>
      </c>
      <c r="D341" s="1" t="str">
        <f t="shared" si="30"/>
        <v/>
      </c>
      <c r="F341" s="52" t="e">
        <f>'Mortgage Calculator'!$G$9*((1+'Mortgage Calculator'!$P$8)^(MISC!C341-1))</f>
        <v>#VALUE!</v>
      </c>
      <c r="G341" s="70" t="e">
        <f>'Mortgage Calculator'!$U$25*((1+'Mortgage Calculator'!$S$10)^(MISC!C341-1))</f>
        <v>#VALUE!</v>
      </c>
      <c r="H341" s="52" t="e">
        <f t="shared" si="32"/>
        <v>#VALUE!</v>
      </c>
      <c r="I341" s="69" t="str">
        <f>IFERROR(IF((H341+I340)*(1+('Mortgage Calculator'!$S$12/12))&gt;R341,"stop",(H341+I340)*(1+('Mortgage Calculator'!$S$12/12))),"")</f>
        <v/>
      </c>
      <c r="M341" s="83" t="str">
        <f t="shared" si="33"/>
        <v/>
      </c>
      <c r="N341" s="83"/>
      <c r="O341" s="105" t="str">
        <f>IFERROR(M341/M341*'Mortgage Calculator'!$U$28,"")</f>
        <v/>
      </c>
      <c r="P341" s="105" t="str">
        <f>IFERROR(M341/M341*R340*'Mortgage Calculator'!$C$13/12,"")</f>
        <v/>
      </c>
      <c r="Q341" s="105" t="str">
        <f t="shared" si="34"/>
        <v/>
      </c>
      <c r="R341" s="105" t="str">
        <f t="shared" si="35"/>
        <v/>
      </c>
    </row>
    <row r="342" spans="3:18" x14ac:dyDescent="0.3">
      <c r="C342" s="1" t="e">
        <f t="shared" si="31"/>
        <v>#VALUE!</v>
      </c>
      <c r="D342" s="1" t="str">
        <f t="shared" si="30"/>
        <v/>
      </c>
      <c r="F342" s="52" t="e">
        <f>'Mortgage Calculator'!$G$9*((1+'Mortgage Calculator'!$P$8)^(MISC!C342-1))</f>
        <v>#VALUE!</v>
      </c>
      <c r="G342" s="70" t="e">
        <f>'Mortgage Calculator'!$U$25*((1+'Mortgage Calculator'!$S$10)^(MISC!C342-1))</f>
        <v>#VALUE!</v>
      </c>
      <c r="H342" s="52" t="e">
        <f t="shared" si="32"/>
        <v>#VALUE!</v>
      </c>
      <c r="I342" s="69" t="str">
        <f>IFERROR(IF((H342+I341)*(1+('Mortgage Calculator'!$S$12/12))&gt;R342,"stop",(H342+I341)*(1+('Mortgage Calculator'!$S$12/12))),"")</f>
        <v/>
      </c>
      <c r="M342" s="83" t="str">
        <f t="shared" si="33"/>
        <v/>
      </c>
      <c r="N342" s="83"/>
      <c r="O342" s="105" t="str">
        <f>IFERROR(M342/M342*'Mortgage Calculator'!$U$28,"")</f>
        <v/>
      </c>
      <c r="P342" s="105" t="str">
        <f>IFERROR(M342/M342*R341*'Mortgage Calculator'!$C$13/12,"")</f>
        <v/>
      </c>
      <c r="Q342" s="105" t="str">
        <f t="shared" si="34"/>
        <v/>
      </c>
      <c r="R342" s="105" t="str">
        <f t="shared" si="35"/>
        <v/>
      </c>
    </row>
    <row r="343" spans="3:18" x14ac:dyDescent="0.3">
      <c r="C343" s="1" t="e">
        <f t="shared" si="31"/>
        <v>#VALUE!</v>
      </c>
      <c r="D343" s="1" t="str">
        <f t="shared" si="30"/>
        <v/>
      </c>
      <c r="F343" s="52" t="e">
        <f>'Mortgage Calculator'!$G$9*((1+'Mortgage Calculator'!$P$8)^(MISC!C343-1))</f>
        <v>#VALUE!</v>
      </c>
      <c r="G343" s="70" t="e">
        <f>'Mortgage Calculator'!$U$25*((1+'Mortgage Calculator'!$S$10)^(MISC!C343-1))</f>
        <v>#VALUE!</v>
      </c>
      <c r="H343" s="52" t="e">
        <f t="shared" si="32"/>
        <v>#VALUE!</v>
      </c>
      <c r="I343" s="69" t="str">
        <f>IFERROR(IF((H343+I342)*(1+('Mortgage Calculator'!$S$12/12))&gt;R343,"stop",(H343+I342)*(1+('Mortgage Calculator'!$S$12/12))),"")</f>
        <v/>
      </c>
      <c r="M343" s="83" t="str">
        <f t="shared" si="33"/>
        <v/>
      </c>
      <c r="N343" s="83"/>
      <c r="O343" s="105" t="str">
        <f>IFERROR(M343/M343*'Mortgage Calculator'!$U$28,"")</f>
        <v/>
      </c>
      <c r="P343" s="105" t="str">
        <f>IFERROR(M343/M343*R342*'Mortgage Calculator'!$C$13/12,"")</f>
        <v/>
      </c>
      <c r="Q343" s="105" t="str">
        <f t="shared" si="34"/>
        <v/>
      </c>
      <c r="R343" s="105" t="str">
        <f t="shared" si="35"/>
        <v/>
      </c>
    </row>
    <row r="344" spans="3:18" x14ac:dyDescent="0.3">
      <c r="C344" s="1" t="e">
        <f t="shared" si="31"/>
        <v>#VALUE!</v>
      </c>
      <c r="D344" s="1" t="str">
        <f t="shared" si="30"/>
        <v/>
      </c>
      <c r="F344" s="52" t="e">
        <f>'Mortgage Calculator'!$G$9*((1+'Mortgage Calculator'!$P$8)^(MISC!C344-1))</f>
        <v>#VALUE!</v>
      </c>
      <c r="G344" s="70" t="e">
        <f>'Mortgage Calculator'!$U$25*((1+'Mortgage Calculator'!$S$10)^(MISC!C344-1))</f>
        <v>#VALUE!</v>
      </c>
      <c r="H344" s="52" t="e">
        <f t="shared" si="32"/>
        <v>#VALUE!</v>
      </c>
      <c r="I344" s="69" t="str">
        <f>IFERROR(IF((H344+I343)*(1+('Mortgage Calculator'!$S$12/12))&gt;R344,"stop",(H344+I343)*(1+('Mortgage Calculator'!$S$12/12))),"")</f>
        <v/>
      </c>
      <c r="M344" s="83" t="str">
        <f t="shared" si="33"/>
        <v/>
      </c>
      <c r="N344" s="83"/>
      <c r="O344" s="105" t="str">
        <f>IFERROR(M344/M344*'Mortgage Calculator'!$U$28,"")</f>
        <v/>
      </c>
      <c r="P344" s="105" t="str">
        <f>IFERROR(M344/M344*R343*'Mortgage Calculator'!$C$13/12,"")</f>
        <v/>
      </c>
      <c r="Q344" s="105" t="str">
        <f t="shared" si="34"/>
        <v/>
      </c>
      <c r="R344" s="105" t="str">
        <f t="shared" si="35"/>
        <v/>
      </c>
    </row>
    <row r="345" spans="3:18" x14ac:dyDescent="0.3">
      <c r="C345" s="1" t="e">
        <f t="shared" si="31"/>
        <v>#VALUE!</v>
      </c>
      <c r="D345" s="1" t="str">
        <f t="shared" si="30"/>
        <v/>
      </c>
      <c r="F345" s="52" t="e">
        <f>'Mortgage Calculator'!$G$9*((1+'Mortgage Calculator'!$P$8)^(MISC!C345-1))</f>
        <v>#VALUE!</v>
      </c>
      <c r="G345" s="70" t="e">
        <f>'Mortgage Calculator'!$U$25*((1+'Mortgage Calculator'!$S$10)^(MISC!C345-1))</f>
        <v>#VALUE!</v>
      </c>
      <c r="H345" s="52" t="e">
        <f t="shared" si="32"/>
        <v>#VALUE!</v>
      </c>
      <c r="I345" s="69" t="str">
        <f>IFERROR(IF((H345+I344)*(1+('Mortgage Calculator'!$S$12/12))&gt;R345,"stop",(H345+I344)*(1+('Mortgage Calculator'!$S$12/12))),"")</f>
        <v/>
      </c>
      <c r="M345" s="83" t="str">
        <f t="shared" si="33"/>
        <v/>
      </c>
      <c r="N345" s="83"/>
      <c r="O345" s="105" t="str">
        <f>IFERROR(M345/M345*'Mortgage Calculator'!$U$28,"")</f>
        <v/>
      </c>
      <c r="P345" s="105" t="str">
        <f>IFERROR(M345/M345*R344*'Mortgage Calculator'!$C$13/12,"")</f>
        <v/>
      </c>
      <c r="Q345" s="105" t="str">
        <f t="shared" si="34"/>
        <v/>
      </c>
      <c r="R345" s="105" t="str">
        <f t="shared" si="35"/>
        <v/>
      </c>
    </row>
    <row r="346" spans="3:18" x14ac:dyDescent="0.3">
      <c r="C346" s="1" t="e">
        <f t="shared" si="31"/>
        <v>#VALUE!</v>
      </c>
      <c r="D346" s="1" t="str">
        <f t="shared" si="30"/>
        <v/>
      </c>
      <c r="F346" s="52" t="e">
        <f>'Mortgage Calculator'!$G$9*((1+'Mortgage Calculator'!$P$8)^(MISC!C346-1))</f>
        <v>#VALUE!</v>
      </c>
      <c r="G346" s="70" t="e">
        <f>'Mortgage Calculator'!$U$25*((1+'Mortgage Calculator'!$S$10)^(MISC!C346-1))</f>
        <v>#VALUE!</v>
      </c>
      <c r="H346" s="52" t="e">
        <f t="shared" si="32"/>
        <v>#VALUE!</v>
      </c>
      <c r="I346" s="69" t="str">
        <f>IFERROR(IF((H346+I345)*(1+('Mortgage Calculator'!$S$12/12))&gt;R346,"stop",(H346+I345)*(1+('Mortgage Calculator'!$S$12/12))),"")</f>
        <v/>
      </c>
      <c r="M346" s="83" t="str">
        <f t="shared" si="33"/>
        <v/>
      </c>
      <c r="N346" s="83"/>
      <c r="O346" s="105" t="str">
        <f>IFERROR(M346/M346*'Mortgage Calculator'!$U$28,"")</f>
        <v/>
      </c>
      <c r="P346" s="105" t="str">
        <f>IFERROR(M346/M346*R345*'Mortgage Calculator'!$C$13/12,"")</f>
        <v/>
      </c>
      <c r="Q346" s="105" t="str">
        <f t="shared" si="34"/>
        <v/>
      </c>
      <c r="R346" s="105" t="str">
        <f t="shared" si="35"/>
        <v/>
      </c>
    </row>
    <row r="347" spans="3:18" x14ac:dyDescent="0.3">
      <c r="C347" s="1" t="e">
        <f t="shared" si="31"/>
        <v>#VALUE!</v>
      </c>
      <c r="D347" s="1" t="str">
        <f t="shared" si="30"/>
        <v/>
      </c>
      <c r="F347" s="52" t="e">
        <f>'Mortgage Calculator'!$G$9*((1+'Mortgage Calculator'!$P$8)^(MISC!C347-1))</f>
        <v>#VALUE!</v>
      </c>
      <c r="G347" s="70" t="e">
        <f>'Mortgage Calculator'!$U$25*((1+'Mortgage Calculator'!$S$10)^(MISC!C347-1))</f>
        <v>#VALUE!</v>
      </c>
      <c r="H347" s="52" t="e">
        <f t="shared" si="32"/>
        <v>#VALUE!</v>
      </c>
      <c r="I347" s="69" t="str">
        <f>IFERROR(IF((H347+I346)*(1+('Mortgage Calculator'!$S$12/12))&gt;R347,"stop",(H347+I346)*(1+('Mortgage Calculator'!$S$12/12))),"")</f>
        <v/>
      </c>
      <c r="M347" s="83" t="str">
        <f t="shared" si="33"/>
        <v/>
      </c>
      <c r="N347" s="83"/>
      <c r="O347" s="105" t="str">
        <f>IFERROR(M347/M347*'Mortgage Calculator'!$U$28,"")</f>
        <v/>
      </c>
      <c r="P347" s="105" t="str">
        <f>IFERROR(M347/M347*R346*'Mortgage Calculator'!$C$13/12,"")</f>
        <v/>
      </c>
      <c r="Q347" s="105" t="str">
        <f t="shared" si="34"/>
        <v/>
      </c>
      <c r="R347" s="105" t="str">
        <f t="shared" si="35"/>
        <v/>
      </c>
    </row>
    <row r="348" spans="3:18" x14ac:dyDescent="0.3">
      <c r="C348" s="1" t="e">
        <f t="shared" si="31"/>
        <v>#VALUE!</v>
      </c>
      <c r="D348" s="1" t="str">
        <f t="shared" si="30"/>
        <v/>
      </c>
      <c r="F348" s="52" t="e">
        <f>'Mortgage Calculator'!$G$9*((1+'Mortgage Calculator'!$P$8)^(MISC!C348-1))</f>
        <v>#VALUE!</v>
      </c>
      <c r="G348" s="70" t="e">
        <f>'Mortgage Calculator'!$U$25*((1+'Mortgage Calculator'!$S$10)^(MISC!C348-1))</f>
        <v>#VALUE!</v>
      </c>
      <c r="H348" s="52" t="e">
        <f t="shared" si="32"/>
        <v>#VALUE!</v>
      </c>
      <c r="I348" s="69" t="str">
        <f>IFERROR(IF((H348+I347)*(1+('Mortgage Calculator'!$S$12/12))&gt;R348,"stop",(H348+I347)*(1+('Mortgage Calculator'!$S$12/12))),"")</f>
        <v/>
      </c>
      <c r="M348" s="83" t="str">
        <f t="shared" si="33"/>
        <v/>
      </c>
      <c r="N348" s="83"/>
      <c r="O348" s="105" t="str">
        <f>IFERROR(M348/M348*'Mortgage Calculator'!$U$28,"")</f>
        <v/>
      </c>
      <c r="P348" s="105" t="str">
        <f>IFERROR(M348/M348*R347*'Mortgage Calculator'!$C$13/12,"")</f>
        <v/>
      </c>
      <c r="Q348" s="105" t="str">
        <f t="shared" si="34"/>
        <v/>
      </c>
      <c r="R348" s="105" t="str">
        <f t="shared" si="35"/>
        <v/>
      </c>
    </row>
    <row r="349" spans="3:18" x14ac:dyDescent="0.3">
      <c r="C349" s="1" t="e">
        <f t="shared" si="31"/>
        <v>#VALUE!</v>
      </c>
      <c r="D349" s="1" t="str">
        <f t="shared" si="30"/>
        <v/>
      </c>
      <c r="F349" s="52" t="e">
        <f>'Mortgage Calculator'!$G$9*((1+'Mortgage Calculator'!$P$8)^(MISC!C349-1))</f>
        <v>#VALUE!</v>
      </c>
      <c r="G349" s="70" t="e">
        <f>'Mortgage Calculator'!$U$25*((1+'Mortgage Calculator'!$S$10)^(MISC!C349-1))</f>
        <v>#VALUE!</v>
      </c>
      <c r="H349" s="52" t="e">
        <f t="shared" si="32"/>
        <v>#VALUE!</v>
      </c>
      <c r="I349" s="69" t="str">
        <f>IFERROR(IF((H349+I348)*(1+('Mortgage Calculator'!$S$12/12))&gt;R349,"stop",(H349+I348)*(1+('Mortgage Calculator'!$S$12/12))),"")</f>
        <v/>
      </c>
      <c r="M349" s="83" t="str">
        <f t="shared" si="33"/>
        <v/>
      </c>
      <c r="N349" s="83"/>
      <c r="O349" s="105" t="str">
        <f>IFERROR(M349/M349*'Mortgage Calculator'!$U$28,"")</f>
        <v/>
      </c>
      <c r="P349" s="105" t="str">
        <f>IFERROR(M349/M349*R348*'Mortgage Calculator'!$C$13/12,"")</f>
        <v/>
      </c>
      <c r="Q349" s="105" t="str">
        <f t="shared" si="34"/>
        <v/>
      </c>
      <c r="R349" s="105" t="str">
        <f t="shared" si="35"/>
        <v/>
      </c>
    </row>
    <row r="350" spans="3:18" x14ac:dyDescent="0.3">
      <c r="C350" s="1" t="e">
        <f t="shared" si="31"/>
        <v>#VALUE!</v>
      </c>
      <c r="D350" s="1" t="str">
        <f t="shared" si="30"/>
        <v/>
      </c>
      <c r="F350" s="52" t="e">
        <f>'Mortgage Calculator'!$G$9*((1+'Mortgage Calculator'!$P$8)^(MISC!C350-1))</f>
        <v>#VALUE!</v>
      </c>
      <c r="G350" s="70" t="e">
        <f>'Mortgage Calculator'!$U$25*((1+'Mortgage Calculator'!$S$10)^(MISC!C350-1))</f>
        <v>#VALUE!</v>
      </c>
      <c r="H350" s="52" t="e">
        <f t="shared" si="32"/>
        <v>#VALUE!</v>
      </c>
      <c r="I350" s="69" t="str">
        <f>IFERROR(IF((H350+I349)*(1+('Mortgage Calculator'!$S$12/12))&gt;R350,"stop",(H350+I349)*(1+('Mortgage Calculator'!$S$12/12))),"")</f>
        <v/>
      </c>
      <c r="M350" s="83" t="str">
        <f t="shared" si="33"/>
        <v/>
      </c>
      <c r="N350" s="83"/>
      <c r="O350" s="105" t="str">
        <f>IFERROR(M350/M350*'Mortgage Calculator'!$U$28,"")</f>
        <v/>
      </c>
      <c r="P350" s="105" t="str">
        <f>IFERROR(M350/M350*R349*'Mortgage Calculator'!$C$13/12,"")</f>
        <v/>
      </c>
      <c r="Q350" s="105" t="str">
        <f t="shared" si="34"/>
        <v/>
      </c>
      <c r="R350" s="105" t="str">
        <f t="shared" si="35"/>
        <v/>
      </c>
    </row>
    <row r="351" spans="3:18" x14ac:dyDescent="0.3">
      <c r="C351" s="1" t="e">
        <f t="shared" si="31"/>
        <v>#VALUE!</v>
      </c>
      <c r="D351" s="1" t="str">
        <f t="shared" si="30"/>
        <v/>
      </c>
      <c r="F351" s="52" t="e">
        <f>'Mortgage Calculator'!$G$9*((1+'Mortgage Calculator'!$P$8)^(MISC!C351-1))</f>
        <v>#VALUE!</v>
      </c>
      <c r="G351" s="70" t="e">
        <f>'Mortgage Calculator'!$U$25*((1+'Mortgage Calculator'!$S$10)^(MISC!C351-1))</f>
        <v>#VALUE!</v>
      </c>
      <c r="H351" s="52" t="e">
        <f t="shared" si="32"/>
        <v>#VALUE!</v>
      </c>
      <c r="I351" s="69" t="str">
        <f>IFERROR(IF((H351+I350)*(1+('Mortgage Calculator'!$S$12/12))&gt;R351,"stop",(H351+I350)*(1+('Mortgage Calculator'!$S$12/12))),"")</f>
        <v/>
      </c>
      <c r="M351" s="83" t="str">
        <f t="shared" si="33"/>
        <v/>
      </c>
      <c r="N351" s="83"/>
      <c r="O351" s="105" t="str">
        <f>IFERROR(M351/M351*'Mortgage Calculator'!$U$28,"")</f>
        <v/>
      </c>
      <c r="P351" s="105" t="str">
        <f>IFERROR(M351/M351*R350*'Mortgage Calculator'!$C$13/12,"")</f>
        <v/>
      </c>
      <c r="Q351" s="105" t="str">
        <f t="shared" si="34"/>
        <v/>
      </c>
      <c r="R351" s="105" t="str">
        <f t="shared" si="35"/>
        <v/>
      </c>
    </row>
    <row r="352" spans="3:18" x14ac:dyDescent="0.3">
      <c r="C352" s="1" t="e">
        <f t="shared" si="31"/>
        <v>#VALUE!</v>
      </c>
      <c r="D352" s="1" t="str">
        <f t="shared" si="30"/>
        <v/>
      </c>
      <c r="F352" s="52" t="e">
        <f>'Mortgage Calculator'!$G$9*((1+'Mortgage Calculator'!$P$8)^(MISC!C352-1))</f>
        <v>#VALUE!</v>
      </c>
      <c r="G352" s="70" t="e">
        <f>'Mortgage Calculator'!$U$25*((1+'Mortgage Calculator'!$S$10)^(MISC!C352-1))</f>
        <v>#VALUE!</v>
      </c>
      <c r="H352" s="52" t="e">
        <f t="shared" si="32"/>
        <v>#VALUE!</v>
      </c>
      <c r="I352" s="69" t="str">
        <f>IFERROR(IF((H352+I351)*(1+('Mortgage Calculator'!$S$12/12))&gt;R352,"stop",(H352+I351)*(1+('Mortgage Calculator'!$S$12/12))),"")</f>
        <v/>
      </c>
      <c r="M352" s="83" t="str">
        <f t="shared" si="33"/>
        <v/>
      </c>
      <c r="N352" s="83"/>
      <c r="O352" s="105" t="str">
        <f>IFERROR(M352/M352*'Mortgage Calculator'!$U$28,"")</f>
        <v/>
      </c>
      <c r="P352" s="105" t="str">
        <f>IFERROR(M352/M352*R351*'Mortgage Calculator'!$C$13/12,"")</f>
        <v/>
      </c>
      <c r="Q352" s="105" t="str">
        <f t="shared" si="34"/>
        <v/>
      </c>
      <c r="R352" s="105" t="str">
        <f t="shared" si="35"/>
        <v/>
      </c>
    </row>
    <row r="353" spans="3:18" x14ac:dyDescent="0.3">
      <c r="C353" s="1" t="e">
        <f t="shared" si="31"/>
        <v>#VALUE!</v>
      </c>
      <c r="D353" s="1" t="str">
        <f t="shared" si="30"/>
        <v/>
      </c>
      <c r="F353" s="52" t="e">
        <f>'Mortgage Calculator'!$G$9*((1+'Mortgage Calculator'!$P$8)^(MISC!C353-1))</f>
        <v>#VALUE!</v>
      </c>
      <c r="G353" s="70" t="e">
        <f>'Mortgage Calculator'!$U$25*((1+'Mortgage Calculator'!$S$10)^(MISC!C353-1))</f>
        <v>#VALUE!</v>
      </c>
      <c r="H353" s="52" t="e">
        <f t="shared" si="32"/>
        <v>#VALUE!</v>
      </c>
      <c r="I353" s="69" t="str">
        <f>IFERROR(IF((H353+I352)*(1+('Mortgage Calculator'!$S$12/12))&gt;R353,"stop",(H353+I352)*(1+('Mortgage Calculator'!$S$12/12))),"")</f>
        <v/>
      </c>
      <c r="M353" s="83" t="str">
        <f t="shared" si="33"/>
        <v/>
      </c>
      <c r="N353" s="83"/>
      <c r="O353" s="105" t="str">
        <f>IFERROR(M353/M353*'Mortgage Calculator'!$U$28,"")</f>
        <v/>
      </c>
      <c r="P353" s="105" t="str">
        <f>IFERROR(M353/M353*R352*'Mortgage Calculator'!$C$13/12,"")</f>
        <v/>
      </c>
      <c r="Q353" s="105" t="str">
        <f t="shared" si="34"/>
        <v/>
      </c>
      <c r="R353" s="105" t="str">
        <f t="shared" si="35"/>
        <v/>
      </c>
    </row>
    <row r="354" spans="3:18" x14ac:dyDescent="0.3">
      <c r="C354" s="1" t="e">
        <f t="shared" si="31"/>
        <v>#VALUE!</v>
      </c>
      <c r="D354" s="1" t="str">
        <f t="shared" si="30"/>
        <v/>
      </c>
      <c r="F354" s="52" t="e">
        <f>'Mortgage Calculator'!$G$9*((1+'Mortgage Calculator'!$P$8)^(MISC!C354-1))</f>
        <v>#VALUE!</v>
      </c>
      <c r="G354" s="70" t="e">
        <f>'Mortgage Calculator'!$U$25*((1+'Mortgage Calculator'!$S$10)^(MISC!C354-1))</f>
        <v>#VALUE!</v>
      </c>
      <c r="H354" s="52" t="e">
        <f t="shared" si="32"/>
        <v>#VALUE!</v>
      </c>
      <c r="I354" s="69" t="str">
        <f>IFERROR(IF((H354+I353)*(1+('Mortgage Calculator'!$S$12/12))&gt;R354,"stop",(H354+I353)*(1+('Mortgage Calculator'!$S$12/12))),"")</f>
        <v/>
      </c>
      <c r="M354" s="83" t="str">
        <f t="shared" si="33"/>
        <v/>
      </c>
      <c r="N354" s="83"/>
      <c r="O354" s="105" t="str">
        <f>IFERROR(M354/M354*'Mortgage Calculator'!$U$28,"")</f>
        <v/>
      </c>
      <c r="P354" s="105" t="str">
        <f>IFERROR(M354/M354*R353*'Mortgage Calculator'!$C$13/12,"")</f>
        <v/>
      </c>
      <c r="Q354" s="105" t="str">
        <f t="shared" si="34"/>
        <v/>
      </c>
      <c r="R354" s="105" t="str">
        <f t="shared" si="35"/>
        <v/>
      </c>
    </row>
    <row r="355" spans="3:18" x14ac:dyDescent="0.3">
      <c r="C355" s="1" t="e">
        <f t="shared" si="31"/>
        <v>#VALUE!</v>
      </c>
      <c r="D355" s="1" t="str">
        <f t="shared" si="30"/>
        <v/>
      </c>
      <c r="F355" s="52" t="e">
        <f>'Mortgage Calculator'!$G$9*((1+'Mortgage Calculator'!$P$8)^(MISC!C355-1))</f>
        <v>#VALUE!</v>
      </c>
      <c r="G355" s="70" t="e">
        <f>'Mortgage Calculator'!$U$25*((1+'Mortgage Calculator'!$S$10)^(MISC!C355-1))</f>
        <v>#VALUE!</v>
      </c>
      <c r="H355" s="52" t="e">
        <f t="shared" si="32"/>
        <v>#VALUE!</v>
      </c>
      <c r="I355" s="69" t="str">
        <f>IFERROR(IF((H355+I354)*(1+('Mortgage Calculator'!$S$12/12))&gt;R355,"stop",(H355+I354)*(1+('Mortgage Calculator'!$S$12/12))),"")</f>
        <v/>
      </c>
      <c r="M355" s="83" t="str">
        <f t="shared" si="33"/>
        <v/>
      </c>
      <c r="N355" s="83"/>
      <c r="O355" s="105" t="str">
        <f>IFERROR(M355/M355*'Mortgage Calculator'!$U$28,"")</f>
        <v/>
      </c>
      <c r="P355" s="105" t="str">
        <f>IFERROR(M355/M355*R354*'Mortgage Calculator'!$C$13/12,"")</f>
        <v/>
      </c>
      <c r="Q355" s="105" t="str">
        <f t="shared" si="34"/>
        <v/>
      </c>
      <c r="R355" s="105" t="str">
        <f t="shared" si="35"/>
        <v/>
      </c>
    </row>
    <row r="356" spans="3:18" x14ac:dyDescent="0.3">
      <c r="C356" s="1" t="e">
        <f t="shared" si="31"/>
        <v>#VALUE!</v>
      </c>
      <c r="D356" s="1" t="str">
        <f t="shared" si="30"/>
        <v/>
      </c>
      <c r="F356" s="52" t="e">
        <f>'Mortgage Calculator'!$G$9*((1+'Mortgage Calculator'!$P$8)^(MISC!C356-1))</f>
        <v>#VALUE!</v>
      </c>
      <c r="G356" s="70" t="e">
        <f>'Mortgage Calculator'!$U$25*((1+'Mortgage Calculator'!$S$10)^(MISC!C356-1))</f>
        <v>#VALUE!</v>
      </c>
      <c r="H356" s="52" t="e">
        <f t="shared" si="32"/>
        <v>#VALUE!</v>
      </c>
      <c r="I356" s="69" t="str">
        <f>IFERROR(IF((H356+I355)*(1+('Mortgage Calculator'!$S$12/12))&gt;R356,"stop",(H356+I355)*(1+('Mortgage Calculator'!$S$12/12))),"")</f>
        <v/>
      </c>
      <c r="M356" s="83" t="str">
        <f t="shared" si="33"/>
        <v/>
      </c>
      <c r="N356" s="83"/>
      <c r="O356" s="105" t="str">
        <f>IFERROR(M356/M356*'Mortgage Calculator'!$U$28,"")</f>
        <v/>
      </c>
      <c r="P356" s="105" t="str">
        <f>IFERROR(M356/M356*R355*'Mortgage Calculator'!$C$13/12,"")</f>
        <v/>
      </c>
      <c r="Q356" s="105" t="str">
        <f t="shared" si="34"/>
        <v/>
      </c>
      <c r="R356" s="105" t="str">
        <f t="shared" si="35"/>
        <v/>
      </c>
    </row>
    <row r="357" spans="3:18" x14ac:dyDescent="0.3">
      <c r="C357" s="1" t="e">
        <f t="shared" si="31"/>
        <v>#VALUE!</v>
      </c>
      <c r="D357" s="1" t="str">
        <f t="shared" si="30"/>
        <v/>
      </c>
      <c r="F357" s="52" t="e">
        <f>'Mortgage Calculator'!$G$9*((1+'Mortgage Calculator'!$P$8)^(MISC!C357-1))</f>
        <v>#VALUE!</v>
      </c>
      <c r="G357" s="70" t="e">
        <f>'Mortgage Calculator'!$U$25*((1+'Mortgage Calculator'!$S$10)^(MISC!C357-1))</f>
        <v>#VALUE!</v>
      </c>
      <c r="H357" s="52" t="e">
        <f t="shared" si="32"/>
        <v>#VALUE!</v>
      </c>
      <c r="I357" s="69" t="str">
        <f>IFERROR(IF((H357+I356)*(1+('Mortgage Calculator'!$S$12/12))&gt;R357,"stop",(H357+I356)*(1+('Mortgage Calculator'!$S$12/12))),"")</f>
        <v/>
      </c>
      <c r="M357" s="83" t="str">
        <f t="shared" si="33"/>
        <v/>
      </c>
      <c r="N357" s="83"/>
      <c r="O357" s="105" t="str">
        <f>IFERROR(M357/M357*'Mortgage Calculator'!$U$28,"")</f>
        <v/>
      </c>
      <c r="P357" s="105" t="str">
        <f>IFERROR(M357/M357*R356*'Mortgage Calculator'!$C$13/12,"")</f>
        <v/>
      </c>
      <c r="Q357" s="105" t="str">
        <f t="shared" si="34"/>
        <v/>
      </c>
      <c r="R357" s="105" t="str">
        <f t="shared" si="35"/>
        <v/>
      </c>
    </row>
    <row r="358" spans="3:18" x14ac:dyDescent="0.3">
      <c r="C358" s="1" t="e">
        <f t="shared" si="31"/>
        <v>#VALUE!</v>
      </c>
      <c r="D358" s="1" t="str">
        <f t="shared" si="30"/>
        <v/>
      </c>
      <c r="F358" s="52" t="e">
        <f>'Mortgage Calculator'!$G$9*((1+'Mortgage Calculator'!$P$8)^(MISC!C358-1))</f>
        <v>#VALUE!</v>
      </c>
      <c r="G358" s="70" t="e">
        <f>'Mortgage Calculator'!$U$25*((1+'Mortgage Calculator'!$S$10)^(MISC!C358-1))</f>
        <v>#VALUE!</v>
      </c>
      <c r="H358" s="52" t="e">
        <f t="shared" si="32"/>
        <v>#VALUE!</v>
      </c>
      <c r="I358" s="69" t="str">
        <f>IFERROR(IF((H358+I357)*(1+('Mortgage Calculator'!$S$12/12))&gt;R358,"stop",(H358+I357)*(1+('Mortgage Calculator'!$S$12/12))),"")</f>
        <v/>
      </c>
      <c r="M358" s="83" t="str">
        <f t="shared" si="33"/>
        <v/>
      </c>
      <c r="N358" s="83"/>
      <c r="O358" s="105" t="str">
        <f>IFERROR(M358/M358*'Mortgage Calculator'!$U$28,"")</f>
        <v/>
      </c>
      <c r="P358" s="105" t="str">
        <f>IFERROR(M358/M358*R357*'Mortgage Calculator'!$C$13/12,"")</f>
        <v/>
      </c>
      <c r="Q358" s="105" t="str">
        <f t="shared" si="34"/>
        <v/>
      </c>
      <c r="R358" s="105" t="str">
        <f t="shared" si="35"/>
        <v/>
      </c>
    </row>
    <row r="359" spans="3:18" x14ac:dyDescent="0.3">
      <c r="C359" s="1" t="e">
        <f t="shared" si="31"/>
        <v>#VALUE!</v>
      </c>
      <c r="D359" s="1" t="str">
        <f t="shared" si="30"/>
        <v/>
      </c>
      <c r="F359" s="52" t="e">
        <f>'Mortgage Calculator'!$G$9*((1+'Mortgage Calculator'!$P$8)^(MISC!C359-1))</f>
        <v>#VALUE!</v>
      </c>
      <c r="G359" s="70" t="e">
        <f>'Mortgage Calculator'!$U$25*((1+'Mortgage Calculator'!$S$10)^(MISC!C359-1))</f>
        <v>#VALUE!</v>
      </c>
      <c r="H359" s="52" t="e">
        <f t="shared" si="32"/>
        <v>#VALUE!</v>
      </c>
      <c r="I359" s="69" t="str">
        <f>IFERROR(IF((H359+I358)*(1+('Mortgage Calculator'!$S$12/12))&gt;R359,"stop",(H359+I358)*(1+('Mortgage Calculator'!$S$12/12))),"")</f>
        <v/>
      </c>
      <c r="M359" s="83" t="str">
        <f t="shared" si="33"/>
        <v/>
      </c>
      <c r="N359" s="83"/>
      <c r="O359" s="105" t="str">
        <f>IFERROR(M359/M359*'Mortgage Calculator'!$U$28,"")</f>
        <v/>
      </c>
      <c r="P359" s="105" t="str">
        <f>IFERROR(M359/M359*R358*'Mortgage Calculator'!$C$13/12,"")</f>
        <v/>
      </c>
      <c r="Q359" s="105" t="str">
        <f t="shared" si="34"/>
        <v/>
      </c>
      <c r="R359" s="105" t="str">
        <f t="shared" si="35"/>
        <v/>
      </c>
    </row>
    <row r="360" spans="3:18" x14ac:dyDescent="0.3">
      <c r="C360" s="1" t="e">
        <f t="shared" si="31"/>
        <v>#VALUE!</v>
      </c>
      <c r="D360" s="1" t="str">
        <f t="shared" si="30"/>
        <v/>
      </c>
      <c r="F360" s="52" t="e">
        <f>'Mortgage Calculator'!$G$9*((1+'Mortgage Calculator'!$P$8)^(MISC!C360-1))</f>
        <v>#VALUE!</v>
      </c>
      <c r="G360" s="70" t="e">
        <f>'Mortgage Calculator'!$U$25*((1+'Mortgage Calculator'!$S$10)^(MISC!C360-1))</f>
        <v>#VALUE!</v>
      </c>
      <c r="H360" s="52" t="e">
        <f t="shared" si="32"/>
        <v>#VALUE!</v>
      </c>
      <c r="I360" s="69" t="str">
        <f>IFERROR(IF((H360+I359)*(1+('Mortgage Calculator'!$S$12/12))&gt;R360,"stop",(H360+I359)*(1+('Mortgage Calculator'!$S$12/12))),"")</f>
        <v/>
      </c>
      <c r="M360" s="83" t="str">
        <f t="shared" si="33"/>
        <v/>
      </c>
      <c r="N360" s="83"/>
      <c r="O360" s="105" t="str">
        <f>IFERROR(M360/M360*'Mortgage Calculator'!$U$28,"")</f>
        <v/>
      </c>
      <c r="P360" s="105" t="str">
        <f>IFERROR(M360/M360*R359*'Mortgage Calculator'!$C$13/12,"")</f>
        <v/>
      </c>
      <c r="Q360" s="105" t="str">
        <f t="shared" si="34"/>
        <v/>
      </c>
      <c r="R360" s="105" t="str">
        <f t="shared" si="35"/>
        <v/>
      </c>
    </row>
    <row r="361" spans="3:18" x14ac:dyDescent="0.3">
      <c r="C361" s="1" t="e">
        <f t="shared" si="31"/>
        <v>#VALUE!</v>
      </c>
      <c r="D361" s="1" t="str">
        <f t="shared" si="30"/>
        <v/>
      </c>
      <c r="F361" s="52" t="e">
        <f>'Mortgage Calculator'!$G$9*((1+'Mortgage Calculator'!$P$8)^(MISC!C361-1))</f>
        <v>#VALUE!</v>
      </c>
      <c r="G361" s="70" t="e">
        <f>'Mortgage Calculator'!$U$25*((1+'Mortgage Calculator'!$S$10)^(MISC!C361-1))</f>
        <v>#VALUE!</v>
      </c>
      <c r="H361" s="52" t="e">
        <f t="shared" si="32"/>
        <v>#VALUE!</v>
      </c>
      <c r="I361" s="69" t="str">
        <f>IFERROR(IF((H361+I360)*(1+('Mortgage Calculator'!$S$12/12))&gt;R361,"stop",(H361+I360)*(1+('Mortgage Calculator'!$S$12/12))),"")</f>
        <v/>
      </c>
      <c r="M361" s="83" t="str">
        <f t="shared" si="33"/>
        <v/>
      </c>
      <c r="N361" s="83"/>
      <c r="O361" s="105" t="str">
        <f>IFERROR(M361/M361*'Mortgage Calculator'!$U$28,"")</f>
        <v/>
      </c>
      <c r="P361" s="105" t="str">
        <f>IFERROR(M361/M361*R360*'Mortgage Calculator'!$C$13/12,"")</f>
        <v/>
      </c>
      <c r="Q361" s="105" t="str">
        <f t="shared" si="34"/>
        <v/>
      </c>
      <c r="R361" s="105" t="str">
        <f t="shared" si="35"/>
        <v/>
      </c>
    </row>
    <row r="362" spans="3:18" x14ac:dyDescent="0.3">
      <c r="C362" s="1" t="e">
        <f t="shared" si="31"/>
        <v>#VALUE!</v>
      </c>
      <c r="D362" s="1" t="str">
        <f t="shared" si="30"/>
        <v/>
      </c>
      <c r="F362" s="52" t="e">
        <f>'Mortgage Calculator'!$G$9*((1+'Mortgage Calculator'!$P$8)^(MISC!C362-1))</f>
        <v>#VALUE!</v>
      </c>
      <c r="G362" s="70" t="e">
        <f>'Mortgage Calculator'!$U$25*((1+'Mortgage Calculator'!$S$10)^(MISC!C362-1))</f>
        <v>#VALUE!</v>
      </c>
      <c r="H362" s="52" t="e">
        <f t="shared" si="32"/>
        <v>#VALUE!</v>
      </c>
      <c r="I362" s="69" t="str">
        <f>IFERROR(IF((H362+I361)*(1+('Mortgage Calculator'!$S$12/12))&gt;R362,"stop",(H362+I361)*(1+('Mortgage Calculator'!$S$12/12))),"")</f>
        <v/>
      </c>
      <c r="M362" s="83" t="str">
        <f t="shared" si="33"/>
        <v/>
      </c>
      <c r="N362" s="83"/>
      <c r="O362" s="105" t="str">
        <f>IFERROR(M362/M362*'Mortgage Calculator'!$U$28,"")</f>
        <v/>
      </c>
      <c r="P362" s="105" t="str">
        <f>IFERROR(M362/M362*R361*'Mortgage Calculator'!$C$13/12,"")</f>
        <v/>
      </c>
      <c r="Q362" s="105" t="str">
        <f t="shared" si="34"/>
        <v/>
      </c>
      <c r="R362" s="105" t="str">
        <f t="shared" si="35"/>
        <v/>
      </c>
    </row>
    <row r="363" spans="3:18" x14ac:dyDescent="0.3">
      <c r="C363" s="1" t="e">
        <f t="shared" si="31"/>
        <v>#VALUE!</v>
      </c>
      <c r="D363" s="1" t="str">
        <f t="shared" si="30"/>
        <v/>
      </c>
      <c r="F363" s="52" t="e">
        <f>'Mortgage Calculator'!$G$9*((1+'Mortgage Calculator'!$P$8)^(MISC!C363-1))</f>
        <v>#VALUE!</v>
      </c>
      <c r="G363" s="70" t="e">
        <f>'Mortgage Calculator'!$U$25*((1+'Mortgage Calculator'!$S$10)^(MISC!C363-1))</f>
        <v>#VALUE!</v>
      </c>
      <c r="H363" s="52" t="e">
        <f t="shared" si="32"/>
        <v>#VALUE!</v>
      </c>
      <c r="I363" s="69" t="str">
        <f>IFERROR(IF((H363+I362)*(1+('Mortgage Calculator'!$S$12/12))&gt;R363,"stop",(H363+I362)*(1+('Mortgage Calculator'!$S$12/12))),"")</f>
        <v/>
      </c>
      <c r="M363" s="83" t="str">
        <f t="shared" si="33"/>
        <v/>
      </c>
      <c r="N363" s="83"/>
      <c r="O363" s="105" t="str">
        <f>IFERROR(M363/M363*'Mortgage Calculator'!$U$28,"")</f>
        <v/>
      </c>
      <c r="P363" s="105" t="str">
        <f>IFERROR(M363/M363*R362*'Mortgage Calculator'!$C$13/12,"")</f>
        <v/>
      </c>
      <c r="Q363" s="105" t="str">
        <f t="shared" si="34"/>
        <v/>
      </c>
      <c r="R363" s="105" t="str">
        <f t="shared" si="35"/>
        <v/>
      </c>
    </row>
    <row r="364" spans="3:18" x14ac:dyDescent="0.3">
      <c r="C364" s="1" t="e">
        <f t="shared" si="31"/>
        <v>#VALUE!</v>
      </c>
      <c r="D364" s="1" t="str">
        <f t="shared" si="30"/>
        <v/>
      </c>
      <c r="F364" s="52" t="e">
        <f>'Mortgage Calculator'!$G$9*((1+'Mortgage Calculator'!$P$8)^(MISC!C364-1))</f>
        <v>#VALUE!</v>
      </c>
      <c r="G364" s="70" t="e">
        <f>'Mortgage Calculator'!$U$25*((1+'Mortgage Calculator'!$S$10)^(MISC!C364-1))</f>
        <v>#VALUE!</v>
      </c>
      <c r="H364" s="52" t="e">
        <f t="shared" si="32"/>
        <v>#VALUE!</v>
      </c>
      <c r="I364" s="69" t="str">
        <f>IFERROR(IF((H364+I363)*(1+('Mortgage Calculator'!$S$12/12))&gt;R364,"stop",(H364+I363)*(1+('Mortgage Calculator'!$S$12/12))),"")</f>
        <v/>
      </c>
      <c r="M364" s="83" t="str">
        <f t="shared" si="33"/>
        <v/>
      </c>
      <c r="N364" s="83"/>
      <c r="O364" s="105" t="str">
        <f>IFERROR(M364/M364*'Mortgage Calculator'!$U$28,"")</f>
        <v/>
      </c>
      <c r="P364" s="105" t="str">
        <f>IFERROR(M364/M364*R363*'Mortgage Calculator'!$C$13/12,"")</f>
        <v/>
      </c>
      <c r="Q364" s="105" t="str">
        <f t="shared" si="34"/>
        <v/>
      </c>
      <c r="R364" s="105" t="str">
        <f t="shared" si="35"/>
        <v/>
      </c>
    </row>
    <row r="365" spans="3:18" x14ac:dyDescent="0.3">
      <c r="C365" s="1" t="e">
        <f t="shared" si="31"/>
        <v>#VALUE!</v>
      </c>
      <c r="D365" s="1" t="str">
        <f t="shared" si="30"/>
        <v/>
      </c>
      <c r="F365" s="52" t="e">
        <f>'Mortgage Calculator'!$G$9*((1+'Mortgage Calculator'!$P$8)^(MISC!C365-1))</f>
        <v>#VALUE!</v>
      </c>
      <c r="G365" s="70" t="e">
        <f>'Mortgage Calculator'!$U$25*((1+'Mortgage Calculator'!$S$10)^(MISC!C365-1))</f>
        <v>#VALUE!</v>
      </c>
      <c r="H365" s="52" t="e">
        <f t="shared" si="32"/>
        <v>#VALUE!</v>
      </c>
      <c r="I365" s="69" t="str">
        <f>IFERROR(IF((H365+I364)*(1+('Mortgage Calculator'!$S$12/12))&gt;R365,"stop",(H365+I364)*(1+('Mortgage Calculator'!$S$12/12))),"")</f>
        <v/>
      </c>
      <c r="M365" s="83" t="str">
        <f t="shared" si="33"/>
        <v/>
      </c>
      <c r="N365" s="83"/>
      <c r="O365" s="105" t="str">
        <f>IFERROR(M365/M365*'Mortgage Calculator'!$U$28,"")</f>
        <v/>
      </c>
      <c r="P365" s="105" t="str">
        <f>IFERROR(M365/M365*R364*'Mortgage Calculator'!$C$13/12,"")</f>
        <v/>
      </c>
      <c r="Q365" s="105" t="str">
        <f t="shared" si="34"/>
        <v/>
      </c>
      <c r="R365" s="105" t="str">
        <f t="shared" si="35"/>
        <v/>
      </c>
    </row>
    <row r="366" spans="3:18" x14ac:dyDescent="0.3">
      <c r="C366" s="1" t="e">
        <f t="shared" si="31"/>
        <v>#VALUE!</v>
      </c>
      <c r="D366" s="1" t="str">
        <f t="shared" si="30"/>
        <v/>
      </c>
      <c r="F366" s="52" t="e">
        <f>'Mortgage Calculator'!$G$9*((1+'Mortgage Calculator'!$P$8)^(MISC!C366-1))</f>
        <v>#VALUE!</v>
      </c>
      <c r="G366" s="70" t="e">
        <f>'Mortgage Calculator'!$U$25*((1+'Mortgage Calculator'!$S$10)^(MISC!C366-1))</f>
        <v>#VALUE!</v>
      </c>
      <c r="H366" s="52" t="e">
        <f t="shared" si="32"/>
        <v>#VALUE!</v>
      </c>
      <c r="I366" s="69" t="str">
        <f>IFERROR(IF((H366+I365)*(1+('Mortgage Calculator'!$S$12/12))&gt;R366,"stop",(H366+I365)*(1+('Mortgage Calculator'!$S$12/12))),"")</f>
        <v/>
      </c>
      <c r="M366" s="83" t="str">
        <f t="shared" si="33"/>
        <v/>
      </c>
      <c r="N366" s="83"/>
      <c r="O366" s="105" t="str">
        <f>IFERROR(M366/M366*'Mortgage Calculator'!$U$28,"")</f>
        <v/>
      </c>
      <c r="P366" s="105" t="str">
        <f>IFERROR(M366/M366*R365*'Mortgage Calculator'!$C$13/12,"")</f>
        <v/>
      </c>
      <c r="Q366" s="105" t="str">
        <f t="shared" si="34"/>
        <v/>
      </c>
      <c r="R366" s="105" t="str">
        <f t="shared" si="35"/>
        <v/>
      </c>
    </row>
    <row r="367" spans="3:18" x14ac:dyDescent="0.3">
      <c r="C367" s="1" t="e">
        <f t="shared" si="31"/>
        <v>#VALUE!</v>
      </c>
      <c r="D367" s="1" t="str">
        <f t="shared" si="30"/>
        <v/>
      </c>
      <c r="F367" s="52" t="e">
        <f>'Mortgage Calculator'!$G$9*((1+'Mortgage Calculator'!$P$8)^(MISC!C367-1))</f>
        <v>#VALUE!</v>
      </c>
      <c r="G367" s="70" t="e">
        <f>'Mortgage Calculator'!$U$25*((1+'Mortgage Calculator'!$S$10)^(MISC!C367-1))</f>
        <v>#VALUE!</v>
      </c>
      <c r="H367" s="52" t="e">
        <f t="shared" si="32"/>
        <v>#VALUE!</v>
      </c>
      <c r="I367" s="69" t="str">
        <f>IFERROR(IF((H367+I366)*(1+('Mortgage Calculator'!$S$12/12))&gt;R367,"stop",(H367+I366)*(1+('Mortgage Calculator'!$S$12/12))),"")</f>
        <v/>
      </c>
      <c r="M367" s="83" t="str">
        <f t="shared" si="33"/>
        <v/>
      </c>
      <c r="N367" s="83"/>
      <c r="O367" s="105" t="str">
        <f>IFERROR(M367/M367*'Mortgage Calculator'!$U$28,"")</f>
        <v/>
      </c>
      <c r="P367" s="105" t="str">
        <f>IFERROR(M367/M367*R366*'Mortgage Calculator'!$C$13/12,"")</f>
        <v/>
      </c>
      <c r="Q367" s="105" t="str">
        <f t="shared" si="34"/>
        <v/>
      </c>
      <c r="R367" s="105" t="str">
        <f t="shared" si="35"/>
        <v/>
      </c>
    </row>
    <row r="368" spans="3:18" x14ac:dyDescent="0.3">
      <c r="C368" s="1" t="e">
        <f t="shared" si="31"/>
        <v>#VALUE!</v>
      </c>
      <c r="D368" s="1" t="str">
        <f t="shared" si="30"/>
        <v/>
      </c>
      <c r="F368" s="52" t="e">
        <f>'Mortgage Calculator'!$G$9*((1+'Mortgage Calculator'!$P$8)^(MISC!C368-1))</f>
        <v>#VALUE!</v>
      </c>
      <c r="G368" s="70" t="e">
        <f>'Mortgage Calculator'!$U$25*((1+'Mortgage Calculator'!$S$10)^(MISC!C368-1))</f>
        <v>#VALUE!</v>
      </c>
      <c r="H368" s="52" t="e">
        <f t="shared" si="32"/>
        <v>#VALUE!</v>
      </c>
      <c r="I368" s="69" t="str">
        <f>IFERROR(IF((H368+I367)*(1+('Mortgage Calculator'!$S$12/12))&gt;R368,"stop",(H368+I367)*(1+('Mortgage Calculator'!$S$12/12))),"")</f>
        <v/>
      </c>
      <c r="M368" s="83" t="str">
        <f t="shared" si="33"/>
        <v/>
      </c>
      <c r="N368" s="83"/>
      <c r="O368" s="105" t="str">
        <f>IFERROR(M368/M368*'Mortgage Calculator'!$U$28,"")</f>
        <v/>
      </c>
      <c r="P368" s="105" t="str">
        <f>IFERROR(M368/M368*R367*'Mortgage Calculator'!$C$13/12,"")</f>
        <v/>
      </c>
      <c r="Q368" s="105" t="str">
        <f t="shared" si="34"/>
        <v/>
      </c>
      <c r="R368" s="105" t="str">
        <f t="shared" si="35"/>
        <v/>
      </c>
    </row>
    <row r="369" spans="3:18" x14ac:dyDescent="0.3">
      <c r="C369" s="1" t="e">
        <f t="shared" si="31"/>
        <v>#VALUE!</v>
      </c>
      <c r="D369" s="1" t="str">
        <f t="shared" si="30"/>
        <v/>
      </c>
      <c r="F369" s="52" t="e">
        <f>'Mortgage Calculator'!$G$9*((1+'Mortgage Calculator'!$P$8)^(MISC!C369-1))</f>
        <v>#VALUE!</v>
      </c>
      <c r="G369" s="70" t="e">
        <f>'Mortgage Calculator'!$U$25*((1+'Mortgage Calculator'!$S$10)^(MISC!C369-1))</f>
        <v>#VALUE!</v>
      </c>
      <c r="H369" s="52" t="e">
        <f t="shared" si="32"/>
        <v>#VALUE!</v>
      </c>
      <c r="I369" s="69" t="str">
        <f>IFERROR(IF((H369+I368)*(1+('Mortgage Calculator'!$S$12/12))&gt;R369,"stop",(H369+I368)*(1+('Mortgage Calculator'!$S$12/12))),"")</f>
        <v/>
      </c>
      <c r="M369" s="83" t="str">
        <f t="shared" si="33"/>
        <v/>
      </c>
      <c r="N369" s="83"/>
      <c r="O369" s="105" t="str">
        <f>IFERROR(M369/M369*'Mortgage Calculator'!$U$28,"")</f>
        <v/>
      </c>
      <c r="P369" s="105" t="str">
        <f>IFERROR(M369/M369*R368*'Mortgage Calculator'!$C$13/12,"")</f>
        <v/>
      </c>
      <c r="Q369" s="105" t="str">
        <f t="shared" si="34"/>
        <v/>
      </c>
      <c r="R369" s="105" t="str">
        <f t="shared" si="35"/>
        <v/>
      </c>
    </row>
    <row r="370" spans="3:18" x14ac:dyDescent="0.3">
      <c r="D370" s="1" t="str">
        <f t="shared" si="30"/>
        <v/>
      </c>
      <c r="F370" s="52">
        <f>'Mortgage Calculator'!$G$9*((1+'Mortgage Calculator'!$P$8)^(MISC!C370-1))</f>
        <v>0</v>
      </c>
      <c r="G370" s="70">
        <f>'Mortgage Calculator'!$U$25*((1+'Mortgage Calculator'!$S$10)^(MISC!C370-1))</f>
        <v>0</v>
      </c>
      <c r="H370" s="52">
        <f t="shared" si="32"/>
        <v>0</v>
      </c>
      <c r="I370" s="69" t="str">
        <f>IFERROR(IF((H370+I369)*(1+('Mortgage Calculator'!$S$12/12))&gt;R370,"stop",(H370+I369)*(1+('Mortgage Calculator'!$S$12/12))),"")</f>
        <v/>
      </c>
      <c r="M370" s="83" t="str">
        <f t="shared" si="33"/>
        <v/>
      </c>
      <c r="N370" s="83"/>
      <c r="O370" s="105" t="str">
        <f>IFERROR(M370/M370*'Mortgage Calculator'!$U$28,"")</f>
        <v/>
      </c>
      <c r="P370" s="105" t="str">
        <f>IFERROR(M370/M370*R369*'Mortgage Calculator'!$C$13/12,"")</f>
        <v/>
      </c>
      <c r="Q370" s="105" t="str">
        <f t="shared" si="34"/>
        <v/>
      </c>
      <c r="R370" s="105" t="str">
        <f t="shared" si="35"/>
        <v/>
      </c>
    </row>
    <row r="371" spans="3:18" x14ac:dyDescent="0.3">
      <c r="D371" s="1" t="str">
        <f t="shared" si="30"/>
        <v/>
      </c>
      <c r="F371" s="52">
        <f>'Mortgage Calculator'!$G$9*((1+'Mortgage Calculator'!$P$8)^(MISC!C371-1))</f>
        <v>0</v>
      </c>
      <c r="G371" s="70">
        <f>'Mortgage Calculator'!$U$25*((1+'Mortgage Calculator'!$S$10)^(MISC!C371-1))</f>
        <v>0</v>
      </c>
      <c r="H371" s="52">
        <f t="shared" si="32"/>
        <v>0</v>
      </c>
      <c r="I371" s="69" t="str">
        <f>IFERROR(IF((H371+I370)*(1+('Mortgage Calculator'!$S$12/12))&gt;R371,"stop",(H371+I370)*(1+('Mortgage Calculator'!$S$12/12))),"")</f>
        <v/>
      </c>
      <c r="M371" s="83" t="str">
        <f t="shared" si="33"/>
        <v/>
      </c>
      <c r="N371" s="83"/>
      <c r="O371" s="105" t="str">
        <f>IFERROR(M371/M371*'Mortgage Calculator'!$U$28,"")</f>
        <v/>
      </c>
      <c r="P371" s="105" t="str">
        <f>IFERROR(M371/M371*R370*'Mortgage Calculator'!$C$13/12,"")</f>
        <v/>
      </c>
      <c r="Q371" s="105" t="str">
        <f t="shared" si="34"/>
        <v/>
      </c>
      <c r="R371" s="105" t="str">
        <f t="shared" si="35"/>
        <v/>
      </c>
    </row>
    <row r="372" spans="3:18" x14ac:dyDescent="0.3">
      <c r="D372" s="1" t="str">
        <f t="shared" si="30"/>
        <v/>
      </c>
      <c r="F372" s="52">
        <f>'Mortgage Calculator'!$G$9*((1+'Mortgage Calculator'!$P$8)^(MISC!C372-1))</f>
        <v>0</v>
      </c>
      <c r="G372" s="70">
        <f>'Mortgage Calculator'!$U$25*((1+'Mortgage Calculator'!$S$10)^(MISC!C372-1))</f>
        <v>0</v>
      </c>
      <c r="H372" s="52">
        <f t="shared" si="32"/>
        <v>0</v>
      </c>
      <c r="I372" s="69" t="str">
        <f>IFERROR(IF((H372+I371)*(1+('Mortgage Calculator'!$S$12/12))&gt;R372,"stop",(H372+I371)*(1+('Mortgage Calculator'!$S$12/12))),"")</f>
        <v/>
      </c>
      <c r="M372" s="83" t="str">
        <f t="shared" si="33"/>
        <v/>
      </c>
      <c r="N372" s="83"/>
      <c r="O372" s="105" t="str">
        <f>IFERROR(M372/M372*'Mortgage Calculator'!$U$28,"")</f>
        <v/>
      </c>
      <c r="P372" s="105" t="str">
        <f>IFERROR(M372/M372*R371*'Mortgage Calculator'!$C$13/12,"")</f>
        <v/>
      </c>
      <c r="Q372" s="105" t="str">
        <f t="shared" si="34"/>
        <v/>
      </c>
      <c r="R372" s="105" t="str">
        <f t="shared" si="35"/>
        <v/>
      </c>
    </row>
    <row r="373" spans="3:18" x14ac:dyDescent="0.3">
      <c r="D373" s="1" t="str">
        <f t="shared" si="30"/>
        <v/>
      </c>
      <c r="F373" s="52">
        <f>'Mortgage Calculator'!$G$9*((1+'Mortgage Calculator'!$P$8)^(MISC!C373-1))</f>
        <v>0</v>
      </c>
      <c r="G373" s="70">
        <f>'Mortgage Calculator'!$U$25*((1+'Mortgage Calculator'!$S$10)^(MISC!C373-1))</f>
        <v>0</v>
      </c>
      <c r="H373" s="52">
        <f t="shared" si="32"/>
        <v>0</v>
      </c>
      <c r="I373" s="69" t="str">
        <f>IFERROR(IF((H373+I372)*(1+('Mortgage Calculator'!$S$12/12))&gt;R373,"stop",(H373+I372)*(1+('Mortgage Calculator'!$S$12/12))),"")</f>
        <v/>
      </c>
      <c r="M373" s="83" t="str">
        <f t="shared" si="33"/>
        <v/>
      </c>
      <c r="N373" s="83"/>
      <c r="O373" s="105" t="str">
        <f>IFERROR(M373/M373*'Mortgage Calculator'!$U$28,"")</f>
        <v/>
      </c>
      <c r="P373" s="105" t="str">
        <f>IFERROR(M373/M373*R372*'Mortgage Calculator'!$C$13/12,"")</f>
        <v/>
      </c>
      <c r="Q373" s="105" t="str">
        <f t="shared" si="34"/>
        <v/>
      </c>
      <c r="R373" s="105" t="str">
        <f t="shared" si="35"/>
        <v/>
      </c>
    </row>
    <row r="374" spans="3:18" x14ac:dyDescent="0.3">
      <c r="D374" s="1" t="str">
        <f t="shared" si="30"/>
        <v/>
      </c>
      <c r="F374" s="52">
        <f>'Mortgage Calculator'!$G$9*((1+'Mortgage Calculator'!$P$8)^(MISC!C374-1))</f>
        <v>0</v>
      </c>
      <c r="G374" s="70">
        <f>'Mortgage Calculator'!$U$25*((1+'Mortgage Calculator'!$S$10)^(MISC!C374-1))</f>
        <v>0</v>
      </c>
      <c r="H374" s="52">
        <f t="shared" si="32"/>
        <v>0</v>
      </c>
      <c r="I374" s="69" t="str">
        <f>IFERROR(IF((H374+I373)*(1+('Mortgage Calculator'!$S$12/12))&gt;R374,"stop",(H374+I373)*(1+('Mortgage Calculator'!$S$12/12))),"")</f>
        <v/>
      </c>
      <c r="M374" s="83" t="str">
        <f t="shared" si="33"/>
        <v/>
      </c>
      <c r="N374" s="83"/>
      <c r="O374" s="105" t="str">
        <f>IFERROR(M374/M374*'Mortgage Calculator'!$U$28,"")</f>
        <v/>
      </c>
      <c r="P374" s="105" t="str">
        <f>IFERROR(M374/M374*R373*'Mortgage Calculator'!$C$13/12,"")</f>
        <v/>
      </c>
      <c r="Q374" s="105" t="str">
        <f t="shared" si="34"/>
        <v/>
      </c>
      <c r="R374" s="105" t="str">
        <f t="shared" si="35"/>
        <v/>
      </c>
    </row>
    <row r="375" spans="3:18" x14ac:dyDescent="0.3">
      <c r="D375" s="1" t="str">
        <f t="shared" si="30"/>
        <v/>
      </c>
      <c r="F375" s="52">
        <f>'Mortgage Calculator'!$G$9*((1+'Mortgage Calculator'!$P$8)^(MISC!C375-1))</f>
        <v>0</v>
      </c>
      <c r="G375" s="70">
        <f>'Mortgage Calculator'!$U$25*((1+'Mortgage Calculator'!$S$10)^(MISC!C375-1))</f>
        <v>0</v>
      </c>
      <c r="H375" s="52">
        <f t="shared" si="32"/>
        <v>0</v>
      </c>
      <c r="I375" s="69" t="str">
        <f>IFERROR(IF((H375+I374)*(1+('Mortgage Calculator'!$S$12/12))&gt;R375,"stop",(H375+I374)*(1+('Mortgage Calculator'!$S$12/12))),"")</f>
        <v/>
      </c>
      <c r="M375" s="83" t="str">
        <f t="shared" si="33"/>
        <v/>
      </c>
      <c r="N375" s="83"/>
      <c r="O375" s="105" t="str">
        <f>IFERROR(M375/M375*'Mortgage Calculator'!$U$28,"")</f>
        <v/>
      </c>
      <c r="P375" s="105" t="str">
        <f>IFERROR(M375/M375*R374*'Mortgage Calculator'!$C$13/12,"")</f>
        <v/>
      </c>
      <c r="Q375" s="105" t="str">
        <f t="shared" si="34"/>
        <v/>
      </c>
      <c r="R375" s="105" t="str">
        <f t="shared" si="35"/>
        <v/>
      </c>
    </row>
    <row r="376" spans="3:18" x14ac:dyDescent="0.3">
      <c r="D376" s="1" t="str">
        <f t="shared" si="30"/>
        <v/>
      </c>
      <c r="F376" s="52">
        <f>'Mortgage Calculator'!$G$9*((1+'Mortgage Calculator'!$P$8)^(MISC!C376-1))</f>
        <v>0</v>
      </c>
      <c r="G376" s="70">
        <f>'Mortgage Calculator'!$U$25*((1+'Mortgage Calculator'!$S$10)^(MISC!C376-1))</f>
        <v>0</v>
      </c>
      <c r="H376" s="52">
        <f t="shared" si="32"/>
        <v>0</v>
      </c>
      <c r="I376" s="69" t="str">
        <f>IFERROR(IF((H376+I375)*(1+('Mortgage Calculator'!$S$12/12))&gt;R376,"stop",(H376+I375)*(1+('Mortgage Calculator'!$S$12/12))),"")</f>
        <v/>
      </c>
      <c r="M376" s="83" t="str">
        <f t="shared" si="33"/>
        <v/>
      </c>
      <c r="N376" s="83"/>
      <c r="O376" s="105" t="str">
        <f>IFERROR(M376/M376*'Mortgage Calculator'!$U$28,"")</f>
        <v/>
      </c>
      <c r="P376" s="105" t="str">
        <f>IFERROR(M376/M376*R375*'Mortgage Calculator'!$C$13/12,"")</f>
        <v/>
      </c>
      <c r="Q376" s="105" t="str">
        <f t="shared" si="34"/>
        <v/>
      </c>
      <c r="R376" s="105" t="str">
        <f t="shared" si="35"/>
        <v/>
      </c>
    </row>
    <row r="377" spans="3:18" x14ac:dyDescent="0.3">
      <c r="D377" s="1" t="str">
        <f t="shared" si="30"/>
        <v/>
      </c>
      <c r="F377" s="52">
        <f>'Mortgage Calculator'!$G$9*((1+'Mortgage Calculator'!$P$8)^(MISC!C377-1))</f>
        <v>0</v>
      </c>
      <c r="G377" s="70">
        <f>'Mortgage Calculator'!$U$25*((1+'Mortgage Calculator'!$S$10)^(MISC!C377-1))</f>
        <v>0</v>
      </c>
      <c r="H377" s="52">
        <f t="shared" si="32"/>
        <v>0</v>
      </c>
      <c r="I377" s="69" t="str">
        <f>IFERROR(IF((H377+I376)*(1+('Mortgage Calculator'!$S$12/12))&gt;R377,"stop",(H377+I376)*(1+('Mortgage Calculator'!$S$12/12))),"")</f>
        <v/>
      </c>
      <c r="M377" s="83" t="str">
        <f t="shared" si="33"/>
        <v/>
      </c>
      <c r="N377" s="83"/>
      <c r="O377" s="105" t="str">
        <f>IFERROR(M377/M377*'Mortgage Calculator'!$U$28,"")</f>
        <v/>
      </c>
      <c r="P377" s="105" t="str">
        <f>IFERROR(M377/M377*R376*'Mortgage Calculator'!$C$13/12,"")</f>
        <v/>
      </c>
      <c r="Q377" s="105" t="str">
        <f t="shared" si="34"/>
        <v/>
      </c>
      <c r="R377" s="105" t="str">
        <f t="shared" si="35"/>
        <v/>
      </c>
    </row>
    <row r="378" spans="3:18" x14ac:dyDescent="0.3">
      <c r="D378" s="1" t="str">
        <f t="shared" si="30"/>
        <v/>
      </c>
      <c r="F378" s="52">
        <f>'Mortgage Calculator'!$G$9*((1+'Mortgage Calculator'!$P$8)^(MISC!C378-1))</f>
        <v>0</v>
      </c>
      <c r="G378" s="70">
        <f>'Mortgage Calculator'!$U$25*((1+'Mortgage Calculator'!$S$10)^(MISC!C378-1))</f>
        <v>0</v>
      </c>
      <c r="H378" s="52">
        <f t="shared" si="32"/>
        <v>0</v>
      </c>
      <c r="I378" s="69" t="str">
        <f>IFERROR(IF((H378+I377)*(1+('Mortgage Calculator'!$S$12/12))&gt;R378,"stop",(H378+I377)*(1+('Mortgage Calculator'!$S$12/12))),"")</f>
        <v/>
      </c>
      <c r="M378" s="83" t="str">
        <f t="shared" si="33"/>
        <v/>
      </c>
      <c r="N378" s="83"/>
      <c r="O378" s="105" t="str">
        <f>IFERROR(M378/M378*'Mortgage Calculator'!$U$28,"")</f>
        <v/>
      </c>
      <c r="P378" s="105" t="str">
        <f>IFERROR(M378/M378*R377*'Mortgage Calculator'!$C$13/12,"")</f>
        <v/>
      </c>
      <c r="Q378" s="105" t="str">
        <f t="shared" si="34"/>
        <v/>
      </c>
      <c r="R378" s="105" t="str">
        <f t="shared" si="35"/>
        <v/>
      </c>
    </row>
    <row r="379" spans="3:18" x14ac:dyDescent="0.3">
      <c r="D379" s="1" t="str">
        <f t="shared" si="30"/>
        <v/>
      </c>
      <c r="F379" s="52">
        <f>'Mortgage Calculator'!$G$9*((1+'Mortgage Calculator'!$P$8)^(MISC!C379-1))</f>
        <v>0</v>
      </c>
      <c r="G379" s="70">
        <f>'Mortgage Calculator'!$U$25*((1+'Mortgage Calculator'!$S$10)^(MISC!C379-1))</f>
        <v>0</v>
      </c>
      <c r="H379" s="52">
        <f t="shared" si="32"/>
        <v>0</v>
      </c>
      <c r="I379" s="69" t="str">
        <f>IFERROR(IF((H379+I378)*(1+('Mortgage Calculator'!$S$12/12))&gt;R379,"stop",(H379+I378)*(1+('Mortgage Calculator'!$S$12/12))),"")</f>
        <v/>
      </c>
      <c r="M379" s="83" t="str">
        <f t="shared" si="33"/>
        <v/>
      </c>
      <c r="N379" s="83"/>
      <c r="O379" s="105" t="str">
        <f>IFERROR(M379/M379*'Mortgage Calculator'!$U$28,"")</f>
        <v/>
      </c>
      <c r="P379" s="105" t="str">
        <f>IFERROR(M379/M379*R378*'Mortgage Calculator'!$C$13/12,"")</f>
        <v/>
      </c>
      <c r="Q379" s="105" t="str">
        <f t="shared" si="34"/>
        <v/>
      </c>
      <c r="R379" s="105" t="str">
        <f t="shared" si="35"/>
        <v/>
      </c>
    </row>
    <row r="380" spans="3:18" x14ac:dyDescent="0.3">
      <c r="D380" s="1" t="str">
        <f t="shared" si="30"/>
        <v/>
      </c>
      <c r="F380" s="52">
        <f>'Mortgage Calculator'!$G$9*((1+'Mortgage Calculator'!$P$8)^(MISC!C380-1))</f>
        <v>0</v>
      </c>
      <c r="G380" s="70">
        <f>'Mortgage Calculator'!$U$25*((1+'Mortgage Calculator'!$S$10)^(MISC!C380-1))</f>
        <v>0</v>
      </c>
      <c r="H380" s="52">
        <f t="shared" si="32"/>
        <v>0</v>
      </c>
      <c r="I380" s="69" t="str">
        <f>IFERROR(IF((H380+I379)*(1+('Mortgage Calculator'!$S$12/12))&gt;R380,"stop",(H380+I379)*(1+('Mortgage Calculator'!$S$12/12))),"")</f>
        <v/>
      </c>
      <c r="M380" s="83" t="str">
        <f t="shared" si="33"/>
        <v/>
      </c>
      <c r="N380" s="83"/>
      <c r="O380" s="105" t="str">
        <f>IFERROR(M380/M380*'Mortgage Calculator'!$U$28,"")</f>
        <v/>
      </c>
      <c r="P380" s="105" t="str">
        <f>IFERROR(M380/M380*R379*'Mortgage Calculator'!$C$13/12,"")</f>
        <v/>
      </c>
      <c r="Q380" s="105" t="str">
        <f t="shared" si="34"/>
        <v/>
      </c>
      <c r="R380" s="105" t="str">
        <f t="shared" si="35"/>
        <v/>
      </c>
    </row>
    <row r="381" spans="3:18" x14ac:dyDescent="0.3">
      <c r="D381" s="1" t="str">
        <f t="shared" si="30"/>
        <v/>
      </c>
      <c r="F381" s="52">
        <f>'Mortgage Calculator'!$G$9*((1+'Mortgage Calculator'!$P$8)^(MISC!C381-1))</f>
        <v>0</v>
      </c>
      <c r="G381" s="70">
        <f>'Mortgage Calculator'!$U$25*((1+'Mortgage Calculator'!$S$10)^(MISC!C381-1))</f>
        <v>0</v>
      </c>
      <c r="H381" s="52">
        <f t="shared" si="32"/>
        <v>0</v>
      </c>
      <c r="I381" s="69" t="str">
        <f>IFERROR(IF((H381+I380)*(1+('Mortgage Calculator'!$S$12/12))&gt;R381,"stop",(H381+I380)*(1+('Mortgage Calculator'!$S$12/12))),"")</f>
        <v/>
      </c>
      <c r="M381" s="83" t="str">
        <f t="shared" si="33"/>
        <v/>
      </c>
      <c r="N381" s="83"/>
      <c r="O381" s="105" t="str">
        <f>IFERROR(M381/M381*'Mortgage Calculator'!$U$28,"")</f>
        <v/>
      </c>
      <c r="P381" s="105" t="str">
        <f>IFERROR(M381/M381*R380*'Mortgage Calculator'!$C$13/12,"")</f>
        <v/>
      </c>
      <c r="Q381" s="105" t="str">
        <f t="shared" si="34"/>
        <v/>
      </c>
      <c r="R381" s="105" t="str">
        <f t="shared" si="35"/>
        <v/>
      </c>
    </row>
    <row r="382" spans="3:18" x14ac:dyDescent="0.3">
      <c r="D382" s="1" t="str">
        <f t="shared" si="30"/>
        <v/>
      </c>
      <c r="F382" s="52">
        <f>'Mortgage Calculator'!$G$9*((1+'Mortgage Calculator'!$P$8)^(MISC!C382-1))</f>
        <v>0</v>
      </c>
      <c r="G382" s="70">
        <f>'Mortgage Calculator'!$U$25*((1+'Mortgage Calculator'!$S$10)^(MISC!C382-1))</f>
        <v>0</v>
      </c>
      <c r="H382" s="52">
        <f t="shared" si="32"/>
        <v>0</v>
      </c>
      <c r="I382" s="69" t="str">
        <f>IFERROR(IF((H382+I381)*(1+('Mortgage Calculator'!$S$12/12))&gt;R382,"stop",(H382+I381)*(1+('Mortgage Calculator'!$S$12/12))),"")</f>
        <v/>
      </c>
      <c r="M382" s="83" t="str">
        <f t="shared" si="33"/>
        <v/>
      </c>
      <c r="N382" s="83"/>
      <c r="O382" s="105" t="str">
        <f>IFERROR(M382/M382*'Mortgage Calculator'!$U$28,"")</f>
        <v/>
      </c>
      <c r="P382" s="105" t="str">
        <f>IFERROR(M382/M382*R381*'Mortgage Calculator'!$C$13/12,"")</f>
        <v/>
      </c>
      <c r="Q382" s="105" t="str">
        <f t="shared" si="34"/>
        <v/>
      </c>
      <c r="R382" s="105" t="str">
        <f t="shared" si="35"/>
        <v/>
      </c>
    </row>
    <row r="383" spans="3:18" x14ac:dyDescent="0.3">
      <c r="D383" s="1" t="str">
        <f t="shared" si="30"/>
        <v/>
      </c>
      <c r="F383" s="52">
        <f>'Mortgage Calculator'!$G$9*((1+'Mortgage Calculator'!$P$8)^(MISC!C383-1))</f>
        <v>0</v>
      </c>
      <c r="G383" s="70">
        <f>'Mortgage Calculator'!$U$25*((1+'Mortgage Calculator'!$S$10)^(MISC!C383-1))</f>
        <v>0</v>
      </c>
      <c r="H383" s="52">
        <f t="shared" si="32"/>
        <v>0</v>
      </c>
      <c r="I383" s="69" t="str">
        <f>IFERROR(IF((H383+I382)*(1+('Mortgage Calculator'!$S$12/12))&gt;R383,"stop",(H383+I382)*(1+('Mortgage Calculator'!$S$12/12))),"")</f>
        <v/>
      </c>
      <c r="M383" s="83" t="str">
        <f t="shared" si="33"/>
        <v/>
      </c>
      <c r="N383" s="83"/>
      <c r="O383" s="105" t="str">
        <f>IFERROR(M383/M383*'Mortgage Calculator'!$U$28,"")</f>
        <v/>
      </c>
      <c r="P383" s="105" t="str">
        <f>IFERROR(M383/M383*R382*'Mortgage Calculator'!$C$13/12,"")</f>
        <v/>
      </c>
      <c r="Q383" s="105" t="str">
        <f t="shared" si="34"/>
        <v/>
      </c>
      <c r="R383" s="105" t="str">
        <f t="shared" si="35"/>
        <v/>
      </c>
    </row>
    <row r="384" spans="3:18" x14ac:dyDescent="0.3">
      <c r="D384" s="1" t="str">
        <f t="shared" si="30"/>
        <v/>
      </c>
      <c r="F384" s="52">
        <f>'Mortgage Calculator'!$G$9*((1+'Mortgage Calculator'!$P$8)^(MISC!C384-1))</f>
        <v>0</v>
      </c>
      <c r="G384" s="70">
        <f>'Mortgage Calculator'!$U$25*((1+'Mortgage Calculator'!$S$10)^(MISC!C384-1))</f>
        <v>0</v>
      </c>
      <c r="H384" s="52">
        <f t="shared" si="32"/>
        <v>0</v>
      </c>
      <c r="I384" s="69" t="str">
        <f>IFERROR(IF((H384+I383)*(1+('Mortgage Calculator'!$S$12/12))&gt;R384,"stop",(H384+I383)*(1+('Mortgage Calculator'!$S$12/12))),"")</f>
        <v/>
      </c>
      <c r="M384" s="83" t="str">
        <f t="shared" si="33"/>
        <v/>
      </c>
      <c r="N384" s="83"/>
      <c r="O384" s="105" t="str">
        <f>IFERROR(M384/M384*'Mortgage Calculator'!$U$28,"")</f>
        <v/>
      </c>
      <c r="P384" s="105" t="str">
        <f>IFERROR(M384/M384*R383*'Mortgage Calculator'!$C$13/12,"")</f>
        <v/>
      </c>
      <c r="Q384" s="105" t="str">
        <f t="shared" si="34"/>
        <v/>
      </c>
      <c r="R384" s="105" t="str">
        <f t="shared" si="35"/>
        <v/>
      </c>
    </row>
    <row r="385" spans="4:18" x14ac:dyDescent="0.3">
      <c r="D385" s="1" t="str">
        <f t="shared" si="30"/>
        <v/>
      </c>
      <c r="F385" s="52">
        <f>'Mortgage Calculator'!$G$9*((1+'Mortgage Calculator'!$P$8)^(MISC!C385-1))</f>
        <v>0</v>
      </c>
      <c r="G385" s="70">
        <f>'Mortgage Calculator'!$U$25*((1+'Mortgage Calculator'!$S$10)^(MISC!C385-1))</f>
        <v>0</v>
      </c>
      <c r="H385" s="52">
        <f t="shared" si="32"/>
        <v>0</v>
      </c>
      <c r="I385" s="69" t="str">
        <f>IFERROR(IF((H385+I384)*(1+('Mortgage Calculator'!$S$12/12))&gt;R385,"stop",(H385+I384)*(1+('Mortgage Calculator'!$S$12/12))),"")</f>
        <v/>
      </c>
      <c r="M385" s="83" t="str">
        <f t="shared" si="33"/>
        <v/>
      </c>
      <c r="N385" s="83"/>
      <c r="O385" s="105" t="str">
        <f>IFERROR(M385/M385*'Mortgage Calculator'!$U$28,"")</f>
        <v/>
      </c>
      <c r="P385" s="105" t="str">
        <f>IFERROR(M385/M385*R384*'Mortgage Calculator'!$C$13/12,"")</f>
        <v/>
      </c>
      <c r="Q385" s="105" t="str">
        <f t="shared" si="34"/>
        <v/>
      </c>
      <c r="R385" s="105" t="str">
        <f t="shared" si="35"/>
        <v/>
      </c>
    </row>
    <row r="386" spans="4:18" x14ac:dyDescent="0.3">
      <c r="D386" s="1" t="str">
        <f t="shared" si="30"/>
        <v/>
      </c>
      <c r="F386" s="52">
        <f>'Mortgage Calculator'!$G$9*((1+'Mortgage Calculator'!$P$8)^(MISC!C386-1))</f>
        <v>0</v>
      </c>
      <c r="G386" s="70">
        <f>'Mortgage Calculator'!$U$25*((1+'Mortgage Calculator'!$S$10)^(MISC!C386-1))</f>
        <v>0</v>
      </c>
      <c r="H386" s="52">
        <f t="shared" si="32"/>
        <v>0</v>
      </c>
      <c r="I386" s="69" t="str">
        <f>IFERROR(IF((H386+I385)*(1+('Mortgage Calculator'!$S$12/12))&gt;R386,"stop",(H386+I385)*(1+('Mortgage Calculator'!$S$12/12))),"")</f>
        <v/>
      </c>
      <c r="M386" s="83" t="str">
        <f t="shared" si="33"/>
        <v/>
      </c>
      <c r="N386" s="83"/>
      <c r="O386" s="105" t="str">
        <f>IFERROR(M386/M386*'Mortgage Calculator'!$U$28,"")</f>
        <v/>
      </c>
      <c r="P386" s="105" t="str">
        <f>IFERROR(M386/M386*R385*'Mortgage Calculator'!$C$13/12,"")</f>
        <v/>
      </c>
      <c r="Q386" s="105" t="str">
        <f t="shared" si="34"/>
        <v/>
      </c>
      <c r="R386" s="105" t="str">
        <f t="shared" si="35"/>
        <v/>
      </c>
    </row>
    <row r="387" spans="4:18" x14ac:dyDescent="0.3">
      <c r="D387" s="1" t="str">
        <f t="shared" si="30"/>
        <v/>
      </c>
      <c r="F387" s="52">
        <f>'Mortgage Calculator'!$G$9*((1+'Mortgage Calculator'!$P$8)^(MISC!C387-1))</f>
        <v>0</v>
      </c>
      <c r="G387" s="70">
        <f>'Mortgage Calculator'!$U$25*((1+'Mortgage Calculator'!$S$10)^(MISC!C387-1))</f>
        <v>0</v>
      </c>
      <c r="H387" s="52">
        <f t="shared" si="32"/>
        <v>0</v>
      </c>
      <c r="I387" s="69" t="str">
        <f>IFERROR(IF((H387+I386)*(1+('Mortgage Calculator'!$S$12/12))&gt;R387,"stop",(H387+I386)*(1+('Mortgage Calculator'!$S$12/12))),"")</f>
        <v/>
      </c>
      <c r="M387" s="83" t="str">
        <f t="shared" si="33"/>
        <v/>
      </c>
      <c r="N387" s="83"/>
      <c r="O387" s="105" t="str">
        <f>IFERROR(M387/M387*'Mortgage Calculator'!$U$28,"")</f>
        <v/>
      </c>
      <c r="P387" s="105" t="str">
        <f>IFERROR(M387/M387*R386*'Mortgage Calculator'!$C$13/12,"")</f>
        <v/>
      </c>
      <c r="Q387" s="105" t="str">
        <f t="shared" si="34"/>
        <v/>
      </c>
      <c r="R387" s="105" t="str">
        <f t="shared" si="35"/>
        <v/>
      </c>
    </row>
    <row r="388" spans="4:18" x14ac:dyDescent="0.3">
      <c r="D388" s="1" t="str">
        <f t="shared" si="30"/>
        <v/>
      </c>
      <c r="F388" s="52">
        <f>'Mortgage Calculator'!$G$9*((1+'Mortgage Calculator'!$P$8)^(MISC!C388-1))</f>
        <v>0</v>
      </c>
      <c r="G388" s="70">
        <f>'Mortgage Calculator'!$U$25*((1+'Mortgage Calculator'!$S$10)^(MISC!C388-1))</f>
        <v>0</v>
      </c>
      <c r="H388" s="52">
        <f t="shared" si="32"/>
        <v>0</v>
      </c>
      <c r="I388" s="69" t="str">
        <f>IFERROR(IF((H388+I387)*(1+('Mortgage Calculator'!$S$12/12))&gt;R388,"stop",(H388+I387)*(1+('Mortgage Calculator'!$S$12/12))),"")</f>
        <v/>
      </c>
      <c r="M388" s="83" t="str">
        <f t="shared" si="33"/>
        <v/>
      </c>
      <c r="N388" s="83"/>
      <c r="O388" s="105" t="str">
        <f>IFERROR(M388/M388*'Mortgage Calculator'!$U$28,"")</f>
        <v/>
      </c>
      <c r="P388" s="105" t="str">
        <f>IFERROR(M388/M388*R387*'Mortgage Calculator'!$C$13/12,"")</f>
        <v/>
      </c>
      <c r="Q388" s="105" t="str">
        <f t="shared" si="34"/>
        <v/>
      </c>
      <c r="R388" s="105" t="str">
        <f t="shared" si="35"/>
        <v/>
      </c>
    </row>
    <row r="389" spans="4:18" x14ac:dyDescent="0.3">
      <c r="D389" s="1" t="str">
        <f t="shared" si="30"/>
        <v/>
      </c>
      <c r="F389" s="52">
        <f>'Mortgage Calculator'!$G$9*((1+'Mortgage Calculator'!$P$8)^(MISC!C389-1))</f>
        <v>0</v>
      </c>
      <c r="G389" s="70">
        <f>'Mortgage Calculator'!$U$25*((1+'Mortgage Calculator'!$S$10)^(MISC!C389-1))</f>
        <v>0</v>
      </c>
      <c r="H389" s="52">
        <f t="shared" si="32"/>
        <v>0</v>
      </c>
      <c r="I389" s="69" t="str">
        <f>IFERROR(IF((H389+I388)*(1+('Mortgage Calculator'!$S$12/12))&gt;R389,"stop",(H389+I388)*(1+('Mortgage Calculator'!$S$12/12))),"")</f>
        <v/>
      </c>
      <c r="M389" s="83" t="str">
        <f t="shared" si="33"/>
        <v/>
      </c>
      <c r="N389" s="83"/>
      <c r="O389" s="105" t="str">
        <f>IFERROR(M389/M389*'Mortgage Calculator'!$U$28,"")</f>
        <v/>
      </c>
      <c r="P389" s="105" t="str">
        <f>IFERROR(M389/M389*R388*'Mortgage Calculator'!$C$13/12,"")</f>
        <v/>
      </c>
      <c r="Q389" s="105" t="str">
        <f t="shared" si="34"/>
        <v/>
      </c>
      <c r="R389" s="105" t="str">
        <f t="shared" si="35"/>
        <v/>
      </c>
    </row>
    <row r="390" spans="4:18" x14ac:dyDescent="0.3">
      <c r="D390" s="1" t="str">
        <f t="shared" si="30"/>
        <v/>
      </c>
      <c r="F390" s="52">
        <f>'Mortgage Calculator'!$G$9*((1+'Mortgage Calculator'!$P$8)^(MISC!C390-1))</f>
        <v>0</v>
      </c>
      <c r="G390" s="70">
        <f>'Mortgage Calculator'!$U$25*((1+'Mortgage Calculator'!$S$10)^(MISC!C390-1))</f>
        <v>0</v>
      </c>
      <c r="H390" s="52">
        <f t="shared" si="32"/>
        <v>0</v>
      </c>
      <c r="I390" s="69" t="str">
        <f>IFERROR(IF((H390+I389)*(1+('Mortgage Calculator'!$S$12/12))&gt;R390,"stop",(H390+I389)*(1+('Mortgage Calculator'!$S$12/12))),"")</f>
        <v/>
      </c>
      <c r="M390" s="83" t="str">
        <f t="shared" si="33"/>
        <v/>
      </c>
      <c r="N390" s="83"/>
      <c r="O390" s="105" t="str">
        <f>IFERROR(M390/M390*'Mortgage Calculator'!$U$28,"")</f>
        <v/>
      </c>
      <c r="P390" s="105" t="str">
        <f>IFERROR(M390/M390*R389*'Mortgage Calculator'!$C$13/12,"")</f>
        <v/>
      </c>
      <c r="Q390" s="105" t="str">
        <f t="shared" si="34"/>
        <v/>
      </c>
      <c r="R390" s="105" t="str">
        <f t="shared" si="35"/>
        <v/>
      </c>
    </row>
    <row r="391" spans="4:18" x14ac:dyDescent="0.3">
      <c r="D391" s="1" t="str">
        <f t="shared" si="30"/>
        <v/>
      </c>
      <c r="F391" s="52">
        <f>'Mortgage Calculator'!$G$9*((1+'Mortgage Calculator'!$P$8)^(MISC!C391-1))</f>
        <v>0</v>
      </c>
      <c r="G391" s="70">
        <f>'Mortgage Calculator'!$U$25*((1+'Mortgage Calculator'!$S$10)^(MISC!C391-1))</f>
        <v>0</v>
      </c>
      <c r="H391" s="52">
        <f t="shared" si="32"/>
        <v>0</v>
      </c>
      <c r="I391" s="69" t="str">
        <f>IFERROR(IF((H391+I390)*(1+('Mortgage Calculator'!$S$12/12))&gt;R391,"stop",(H391+I390)*(1+('Mortgage Calculator'!$S$12/12))),"")</f>
        <v/>
      </c>
      <c r="M391" s="83" t="str">
        <f t="shared" si="33"/>
        <v/>
      </c>
      <c r="N391" s="83"/>
      <c r="O391" s="105" t="str">
        <f>IFERROR(M391/M391*'Mortgage Calculator'!$U$28,"")</f>
        <v/>
      </c>
      <c r="P391" s="105" t="str">
        <f>IFERROR(M391/M391*R390*'Mortgage Calculator'!$C$13/12,"")</f>
        <v/>
      </c>
      <c r="Q391" s="105" t="str">
        <f t="shared" si="34"/>
        <v/>
      </c>
      <c r="R391" s="105" t="str">
        <f t="shared" si="35"/>
        <v/>
      </c>
    </row>
    <row r="392" spans="4:18" x14ac:dyDescent="0.3">
      <c r="D392" s="1" t="str">
        <f t="shared" si="30"/>
        <v/>
      </c>
      <c r="F392" s="52">
        <f>'Mortgage Calculator'!$G$9*((1+'Mortgage Calculator'!$P$8)^(MISC!C392-1))</f>
        <v>0</v>
      </c>
      <c r="G392" s="70">
        <f>'Mortgage Calculator'!$U$25*((1+'Mortgage Calculator'!$S$10)^(MISC!C392-1))</f>
        <v>0</v>
      </c>
      <c r="H392" s="52">
        <f t="shared" si="32"/>
        <v>0</v>
      </c>
      <c r="I392" s="69" t="str">
        <f>IFERROR(IF((H392+I391)*(1+('Mortgage Calculator'!$S$12/12))&gt;R392,"stop",(H392+I391)*(1+('Mortgage Calculator'!$S$12/12))),"")</f>
        <v/>
      </c>
      <c r="M392" s="83" t="str">
        <f t="shared" si="33"/>
        <v/>
      </c>
      <c r="N392" s="83"/>
      <c r="O392" s="105" t="str">
        <f>IFERROR(M392/M392*'Mortgage Calculator'!$U$28,"")</f>
        <v/>
      </c>
      <c r="P392" s="105" t="str">
        <f>IFERROR(M392/M392*R391*'Mortgage Calculator'!$C$13/12,"")</f>
        <v/>
      </c>
      <c r="Q392" s="105" t="str">
        <f t="shared" si="34"/>
        <v/>
      </c>
      <c r="R392" s="105" t="str">
        <f t="shared" si="35"/>
        <v/>
      </c>
    </row>
    <row r="393" spans="4:18" x14ac:dyDescent="0.3">
      <c r="D393" s="1" t="str">
        <f t="shared" si="30"/>
        <v/>
      </c>
      <c r="F393" s="52">
        <f>'Mortgage Calculator'!$G$9*((1+'Mortgage Calculator'!$P$8)^(MISC!C393-1))</f>
        <v>0</v>
      </c>
      <c r="G393" s="70">
        <f>'Mortgage Calculator'!$U$25*((1+'Mortgage Calculator'!$S$10)^(MISC!C393-1))</f>
        <v>0</v>
      </c>
      <c r="H393" s="52">
        <f t="shared" si="32"/>
        <v>0</v>
      </c>
      <c r="I393" s="69" t="str">
        <f>IFERROR(IF((H393+I392)*(1+('Mortgage Calculator'!$S$12/12))&gt;R393,"stop",(H393+I392)*(1+('Mortgage Calculator'!$S$12/12))),"")</f>
        <v/>
      </c>
      <c r="M393" s="83" t="str">
        <f t="shared" si="33"/>
        <v/>
      </c>
      <c r="N393" s="83"/>
      <c r="O393" s="105" t="str">
        <f>IFERROR(M393/M393*'Mortgage Calculator'!$U$28,"")</f>
        <v/>
      </c>
      <c r="P393" s="105" t="str">
        <f>IFERROR(M393/M393*R392*'Mortgage Calculator'!$C$13/12,"")</f>
        <v/>
      </c>
      <c r="Q393" s="105" t="str">
        <f t="shared" si="34"/>
        <v/>
      </c>
      <c r="R393" s="105" t="str">
        <f t="shared" si="35"/>
        <v/>
      </c>
    </row>
    <row r="394" spans="4:18" x14ac:dyDescent="0.3">
      <c r="D394" s="1" t="str">
        <f t="shared" ref="D394:D429" si="36">IF(E394="","",ROW()-9)</f>
        <v/>
      </c>
      <c r="F394" s="52">
        <f>'Mortgage Calculator'!$G$9*((1+'Mortgage Calculator'!$P$8)^(MISC!C394-1))</f>
        <v>0</v>
      </c>
      <c r="G394" s="70">
        <f>'Mortgage Calculator'!$U$25*((1+'Mortgage Calculator'!$S$10)^(MISC!C394-1))</f>
        <v>0</v>
      </c>
      <c r="H394" s="52">
        <f t="shared" si="32"/>
        <v>0</v>
      </c>
      <c r="I394" s="69" t="str">
        <f>IFERROR(IF((H394+I393)*(1+('Mortgage Calculator'!$S$12/12))&gt;R394,"stop",(H394+I393)*(1+('Mortgage Calculator'!$S$12/12))),"")</f>
        <v/>
      </c>
      <c r="M394" s="83" t="str">
        <f t="shared" si="33"/>
        <v/>
      </c>
      <c r="N394" s="83"/>
      <c r="O394" s="105" t="str">
        <f>IFERROR(M394/M394*'Mortgage Calculator'!$U$28,"")</f>
        <v/>
      </c>
      <c r="P394" s="105" t="str">
        <f>IFERROR(M394/M394*R393*'Mortgage Calculator'!$C$13/12,"")</f>
        <v/>
      </c>
      <c r="Q394" s="105" t="str">
        <f t="shared" si="34"/>
        <v/>
      </c>
      <c r="R394" s="105" t="str">
        <f t="shared" si="35"/>
        <v/>
      </c>
    </row>
    <row r="395" spans="4:18" x14ac:dyDescent="0.3">
      <c r="D395" s="1" t="str">
        <f t="shared" si="36"/>
        <v/>
      </c>
      <c r="F395" s="52">
        <f>'Mortgage Calculator'!$G$9*((1+'Mortgage Calculator'!$P$8)^(MISC!C395-1))</f>
        <v>0</v>
      </c>
      <c r="G395" s="70">
        <f>'Mortgage Calculator'!$U$25*((1+'Mortgage Calculator'!$S$10)^(MISC!C395-1))</f>
        <v>0</v>
      </c>
      <c r="H395" s="52">
        <f t="shared" ref="H395:H429" si="37">F395-G395</f>
        <v>0</v>
      </c>
      <c r="I395" s="69" t="str">
        <f>IFERROR(IF((H395+I394)*(1+('Mortgage Calculator'!$S$12/12))&gt;R395,"stop",(H395+I394)*(1+('Mortgage Calculator'!$S$12/12))),"")</f>
        <v/>
      </c>
      <c r="M395" s="83" t="str">
        <f t="shared" ref="M395:M427" si="38">IF(N395="","",ROW()-9)</f>
        <v/>
      </c>
      <c r="N395" s="83"/>
      <c r="O395" s="105" t="str">
        <f>IFERROR(M395/M395*'Mortgage Calculator'!$U$28,"")</f>
        <v/>
      </c>
      <c r="P395" s="105" t="str">
        <f>IFERROR(M395/M395*R394*'Mortgage Calculator'!$C$13/12,"")</f>
        <v/>
      </c>
      <c r="Q395" s="105" t="str">
        <f t="shared" ref="Q395:Q429" si="39">IFERROR(O395-P395,"")</f>
        <v/>
      </c>
      <c r="R395" s="105" t="str">
        <f t="shared" ref="R395:R429" si="40">IFERROR(R394-Q395,"")</f>
        <v/>
      </c>
    </row>
    <row r="396" spans="4:18" x14ac:dyDescent="0.3">
      <c r="D396" s="1" t="str">
        <f t="shared" si="36"/>
        <v/>
      </c>
      <c r="F396" s="52">
        <f>'Mortgage Calculator'!$G$9*((1+'Mortgage Calculator'!$P$8)^(MISC!C396-1))</f>
        <v>0</v>
      </c>
      <c r="G396" s="70">
        <f>'Mortgage Calculator'!$U$25*((1+'Mortgage Calculator'!$S$10)^(MISC!C396-1))</f>
        <v>0</v>
      </c>
      <c r="H396" s="52">
        <f t="shared" si="37"/>
        <v>0</v>
      </c>
      <c r="I396" s="69" t="str">
        <f>IFERROR(IF((H396+I395)*(1+('Mortgage Calculator'!$S$12/12))&gt;R396,"stop",(H396+I395)*(1+('Mortgage Calculator'!$S$12/12))),"")</f>
        <v/>
      </c>
      <c r="M396" s="83" t="str">
        <f t="shared" si="38"/>
        <v/>
      </c>
      <c r="N396" s="83"/>
      <c r="O396" s="105" t="str">
        <f>IFERROR(M396/M396*'Mortgage Calculator'!$U$28,"")</f>
        <v/>
      </c>
      <c r="P396" s="105" t="str">
        <f>IFERROR(M396/M396*R395*'Mortgage Calculator'!$C$13/12,"")</f>
        <v/>
      </c>
      <c r="Q396" s="105" t="str">
        <f t="shared" si="39"/>
        <v/>
      </c>
      <c r="R396" s="105" t="str">
        <f t="shared" si="40"/>
        <v/>
      </c>
    </row>
    <row r="397" spans="4:18" x14ac:dyDescent="0.3">
      <c r="D397" s="1" t="str">
        <f t="shared" si="36"/>
        <v/>
      </c>
      <c r="F397" s="52">
        <f>'Mortgage Calculator'!$G$9*((1+'Mortgage Calculator'!$P$8)^(MISC!C397-1))</f>
        <v>0</v>
      </c>
      <c r="G397" s="70">
        <f>'Mortgage Calculator'!$U$25*((1+'Mortgage Calculator'!$S$10)^(MISC!C397-1))</f>
        <v>0</v>
      </c>
      <c r="H397" s="52">
        <f t="shared" si="37"/>
        <v>0</v>
      </c>
      <c r="I397" s="69" t="str">
        <f>IFERROR(IF((H397+I396)*(1+('Mortgage Calculator'!$S$12/12))&gt;R397,"stop",(H397+I396)*(1+('Mortgage Calculator'!$S$12/12))),"")</f>
        <v/>
      </c>
      <c r="M397" s="83" t="str">
        <f t="shared" si="38"/>
        <v/>
      </c>
      <c r="N397" s="83"/>
      <c r="O397" s="105" t="str">
        <f>IFERROR(M397/M397*'Mortgage Calculator'!$U$28,"")</f>
        <v/>
      </c>
      <c r="P397" s="105" t="str">
        <f>IFERROR(M397/M397*R396*'Mortgage Calculator'!$C$13/12,"")</f>
        <v/>
      </c>
      <c r="Q397" s="105" t="str">
        <f t="shared" si="39"/>
        <v/>
      </c>
      <c r="R397" s="105" t="str">
        <f t="shared" si="40"/>
        <v/>
      </c>
    </row>
    <row r="398" spans="4:18" x14ac:dyDescent="0.3">
      <c r="D398" s="1" t="str">
        <f t="shared" si="36"/>
        <v/>
      </c>
      <c r="F398" s="52">
        <f>'Mortgage Calculator'!$G$9*((1+'Mortgage Calculator'!$P$8)^(MISC!C398-1))</f>
        <v>0</v>
      </c>
      <c r="G398" s="70">
        <f>'Mortgage Calculator'!$U$25*((1+'Mortgage Calculator'!$S$10)^(MISC!C398-1))</f>
        <v>0</v>
      </c>
      <c r="H398" s="52">
        <f t="shared" si="37"/>
        <v>0</v>
      </c>
      <c r="I398" s="69" t="str">
        <f>IFERROR(IF((H398+I397)*(1+('Mortgage Calculator'!$S$12/12))&gt;R398,"stop",(H398+I397)*(1+('Mortgage Calculator'!$S$12/12))),"")</f>
        <v/>
      </c>
      <c r="M398" s="83" t="str">
        <f t="shared" si="38"/>
        <v/>
      </c>
      <c r="N398" s="83"/>
      <c r="O398" s="105" t="str">
        <f>IFERROR(M398/M398*'Mortgage Calculator'!$U$28,"")</f>
        <v/>
      </c>
      <c r="P398" s="105" t="str">
        <f>IFERROR(M398/M398*R397*'Mortgage Calculator'!$C$13/12,"")</f>
        <v/>
      </c>
      <c r="Q398" s="105" t="str">
        <f t="shared" si="39"/>
        <v/>
      </c>
      <c r="R398" s="105" t="str">
        <f t="shared" si="40"/>
        <v/>
      </c>
    </row>
    <row r="399" spans="4:18" x14ac:dyDescent="0.3">
      <c r="D399" s="1" t="str">
        <f t="shared" si="36"/>
        <v/>
      </c>
      <c r="F399" s="52">
        <f>'Mortgage Calculator'!$G$9*((1+'Mortgage Calculator'!$P$8)^(MISC!C399-1))</f>
        <v>0</v>
      </c>
      <c r="G399" s="70">
        <f>'Mortgage Calculator'!$U$25*((1+'Mortgage Calculator'!$S$10)^(MISC!C399-1))</f>
        <v>0</v>
      </c>
      <c r="H399" s="52">
        <f t="shared" si="37"/>
        <v>0</v>
      </c>
      <c r="I399" s="69" t="str">
        <f>IFERROR(IF((H399+I398)*(1+('Mortgage Calculator'!$S$12/12))&gt;R399,"stop",(H399+I398)*(1+('Mortgage Calculator'!$S$12/12))),"")</f>
        <v/>
      </c>
      <c r="M399" s="83" t="str">
        <f t="shared" si="38"/>
        <v/>
      </c>
      <c r="N399" s="83"/>
      <c r="O399" s="105" t="str">
        <f>IFERROR(M399/M399*'Mortgage Calculator'!$U$28,"")</f>
        <v/>
      </c>
      <c r="P399" s="105" t="str">
        <f>IFERROR(M399/M399*R398*'Mortgage Calculator'!$C$13/12,"")</f>
        <v/>
      </c>
      <c r="Q399" s="105" t="str">
        <f t="shared" si="39"/>
        <v/>
      </c>
      <c r="R399" s="105" t="str">
        <f t="shared" si="40"/>
        <v/>
      </c>
    </row>
    <row r="400" spans="4:18" x14ac:dyDescent="0.3">
      <c r="D400" s="1" t="str">
        <f t="shared" si="36"/>
        <v/>
      </c>
      <c r="F400" s="52">
        <f>'Mortgage Calculator'!$G$9*((1+'Mortgage Calculator'!$P$8)^(MISC!C400-1))</f>
        <v>0</v>
      </c>
      <c r="G400" s="70">
        <f>'Mortgage Calculator'!$U$25*((1+'Mortgage Calculator'!$S$10)^(MISC!C400-1))</f>
        <v>0</v>
      </c>
      <c r="H400" s="52">
        <f t="shared" si="37"/>
        <v>0</v>
      </c>
      <c r="I400" s="69" t="str">
        <f>IFERROR(IF((H400+I399)*(1+('Mortgage Calculator'!$S$12/12))&gt;R400,"stop",(H400+I399)*(1+('Mortgage Calculator'!$S$12/12))),"")</f>
        <v/>
      </c>
      <c r="M400" s="83" t="str">
        <f t="shared" si="38"/>
        <v/>
      </c>
      <c r="N400" s="83"/>
      <c r="O400" s="105" t="str">
        <f>IFERROR(M400/M400*'Mortgage Calculator'!$U$28,"")</f>
        <v/>
      </c>
      <c r="P400" s="105" t="str">
        <f>IFERROR(M400/M400*R399*'Mortgage Calculator'!$C$13/12,"")</f>
        <v/>
      </c>
      <c r="Q400" s="105" t="str">
        <f t="shared" si="39"/>
        <v/>
      </c>
      <c r="R400" s="105" t="str">
        <f t="shared" si="40"/>
        <v/>
      </c>
    </row>
    <row r="401" spans="4:18" x14ac:dyDescent="0.3">
      <c r="D401" s="1" t="str">
        <f t="shared" si="36"/>
        <v/>
      </c>
      <c r="F401" s="52">
        <f>'Mortgage Calculator'!$G$9*((1+'Mortgage Calculator'!$P$8)^(MISC!C401-1))</f>
        <v>0</v>
      </c>
      <c r="G401" s="70">
        <f>'Mortgage Calculator'!$U$25*((1+'Mortgage Calculator'!$S$10)^(MISC!C401-1))</f>
        <v>0</v>
      </c>
      <c r="H401" s="52">
        <f t="shared" si="37"/>
        <v>0</v>
      </c>
      <c r="I401" s="69" t="str">
        <f>IFERROR(IF((H401+I400)*(1+('Mortgage Calculator'!$S$12/12))&gt;R401,"stop",(H401+I400)*(1+('Mortgage Calculator'!$S$12/12))),"")</f>
        <v/>
      </c>
      <c r="M401" s="83" t="str">
        <f t="shared" si="38"/>
        <v/>
      </c>
      <c r="N401" s="83"/>
      <c r="O401" s="105" t="str">
        <f>IFERROR(M401/M401*'Mortgage Calculator'!$U$28,"")</f>
        <v/>
      </c>
      <c r="P401" s="105" t="str">
        <f>IFERROR(M401/M401*R400*'Mortgage Calculator'!$C$13/12,"")</f>
        <v/>
      </c>
      <c r="Q401" s="105" t="str">
        <f t="shared" si="39"/>
        <v/>
      </c>
      <c r="R401" s="105" t="str">
        <f t="shared" si="40"/>
        <v/>
      </c>
    </row>
    <row r="402" spans="4:18" x14ac:dyDescent="0.3">
      <c r="D402" s="1" t="str">
        <f t="shared" si="36"/>
        <v/>
      </c>
      <c r="F402" s="52">
        <f>'Mortgage Calculator'!$G$9*((1+'Mortgage Calculator'!$P$8)^(MISC!C402-1))</f>
        <v>0</v>
      </c>
      <c r="G402" s="70">
        <f>'Mortgage Calculator'!$U$25*((1+'Mortgage Calculator'!$S$10)^(MISC!C402-1))</f>
        <v>0</v>
      </c>
      <c r="H402" s="52">
        <f t="shared" si="37"/>
        <v>0</v>
      </c>
      <c r="I402" s="69" t="str">
        <f>IFERROR(IF((H402+I401)*(1+('Mortgage Calculator'!$S$12/12))&gt;R402,"stop",(H402+I401)*(1+('Mortgage Calculator'!$S$12/12))),"")</f>
        <v/>
      </c>
      <c r="M402" s="83" t="str">
        <f t="shared" si="38"/>
        <v/>
      </c>
      <c r="N402" s="83"/>
      <c r="O402" s="105" t="str">
        <f>IFERROR(M402/M402*'Mortgage Calculator'!$U$28,"")</f>
        <v/>
      </c>
      <c r="P402" s="105" t="str">
        <f>IFERROR(M402/M402*R401*'Mortgage Calculator'!$C$13/12,"")</f>
        <v/>
      </c>
      <c r="Q402" s="105" t="str">
        <f t="shared" si="39"/>
        <v/>
      </c>
      <c r="R402" s="105" t="str">
        <f t="shared" si="40"/>
        <v/>
      </c>
    </row>
    <row r="403" spans="4:18" x14ac:dyDescent="0.3">
      <c r="D403" s="1" t="str">
        <f t="shared" si="36"/>
        <v/>
      </c>
      <c r="F403" s="52">
        <f>'Mortgage Calculator'!$G$9*((1+'Mortgage Calculator'!$P$8)^(MISC!C403-1))</f>
        <v>0</v>
      </c>
      <c r="G403" s="70">
        <f>'Mortgage Calculator'!$U$25*((1+'Mortgage Calculator'!$S$10)^(MISC!C403-1))</f>
        <v>0</v>
      </c>
      <c r="H403" s="52">
        <f t="shared" si="37"/>
        <v>0</v>
      </c>
      <c r="I403" s="69" t="str">
        <f>IFERROR(IF((H403+I402)*(1+('Mortgage Calculator'!$S$12/12))&gt;R403,"stop",(H403+I402)*(1+('Mortgage Calculator'!$S$12/12))),"")</f>
        <v/>
      </c>
      <c r="M403" s="83" t="str">
        <f t="shared" si="38"/>
        <v/>
      </c>
      <c r="N403" s="83"/>
      <c r="O403" s="105" t="str">
        <f>IFERROR(M403/M403*'Mortgage Calculator'!$U$28,"")</f>
        <v/>
      </c>
      <c r="P403" s="105" t="str">
        <f>IFERROR(M403/M403*R402*'Mortgage Calculator'!$C$13/12,"")</f>
        <v/>
      </c>
      <c r="Q403" s="105" t="str">
        <f t="shared" si="39"/>
        <v/>
      </c>
      <c r="R403" s="105" t="str">
        <f t="shared" si="40"/>
        <v/>
      </c>
    </row>
    <row r="404" spans="4:18" x14ac:dyDescent="0.3">
      <c r="D404" s="1" t="str">
        <f t="shared" si="36"/>
        <v/>
      </c>
      <c r="F404" s="52">
        <f>'Mortgage Calculator'!$G$9*((1+'Mortgage Calculator'!$P$8)^(MISC!C404-1))</f>
        <v>0</v>
      </c>
      <c r="G404" s="70">
        <f>'Mortgage Calculator'!$U$25*((1+'Mortgage Calculator'!$S$10)^(MISC!C404-1))</f>
        <v>0</v>
      </c>
      <c r="H404" s="52">
        <f t="shared" si="37"/>
        <v>0</v>
      </c>
      <c r="I404" s="69" t="str">
        <f>IFERROR(IF((H404+I403)*(1+('Mortgage Calculator'!$S$12/12))&gt;R404,"stop",(H404+I403)*(1+('Mortgage Calculator'!$S$12/12))),"")</f>
        <v/>
      </c>
      <c r="M404" s="83" t="str">
        <f t="shared" si="38"/>
        <v/>
      </c>
      <c r="N404" s="83"/>
      <c r="O404" s="105" t="str">
        <f>IFERROR(M404/M404*'Mortgage Calculator'!$U$28,"")</f>
        <v/>
      </c>
      <c r="P404" s="105" t="str">
        <f>IFERROR(M404/M404*R403*'Mortgage Calculator'!$C$13/12,"")</f>
        <v/>
      </c>
      <c r="Q404" s="105" t="str">
        <f t="shared" si="39"/>
        <v/>
      </c>
      <c r="R404" s="105" t="str">
        <f t="shared" si="40"/>
        <v/>
      </c>
    </row>
    <row r="405" spans="4:18" x14ac:dyDescent="0.3">
      <c r="D405" s="1" t="str">
        <f t="shared" si="36"/>
        <v/>
      </c>
      <c r="F405" s="52">
        <f>'Mortgage Calculator'!$G$9*((1+'Mortgage Calculator'!$P$8)^(MISC!C405-1))</f>
        <v>0</v>
      </c>
      <c r="G405" s="70">
        <f>'Mortgage Calculator'!$U$25*((1+'Mortgage Calculator'!$S$10)^(MISC!C405-1))</f>
        <v>0</v>
      </c>
      <c r="H405" s="52">
        <f t="shared" si="37"/>
        <v>0</v>
      </c>
      <c r="I405" s="69" t="str">
        <f>IFERROR(IF((H405+I404)*(1+('Mortgage Calculator'!$S$12/12))&gt;R405,"stop",(H405+I404)*(1+('Mortgage Calculator'!$S$12/12))),"")</f>
        <v/>
      </c>
      <c r="M405" s="83" t="str">
        <f t="shared" si="38"/>
        <v/>
      </c>
      <c r="N405" s="83"/>
      <c r="O405" s="105" t="str">
        <f>IFERROR(M405/M405*'Mortgage Calculator'!$U$28,"")</f>
        <v/>
      </c>
      <c r="P405" s="105" t="str">
        <f>IFERROR(M405/M405*R404*'Mortgage Calculator'!$C$13/12,"")</f>
        <v/>
      </c>
      <c r="Q405" s="105" t="str">
        <f t="shared" si="39"/>
        <v/>
      </c>
      <c r="R405" s="105" t="str">
        <f t="shared" si="40"/>
        <v/>
      </c>
    </row>
    <row r="406" spans="4:18" x14ac:dyDescent="0.3">
      <c r="D406" s="1" t="str">
        <f t="shared" si="36"/>
        <v/>
      </c>
      <c r="F406" s="52">
        <f>'Mortgage Calculator'!$G$9*((1+'Mortgage Calculator'!$P$8)^(MISC!C406-1))</f>
        <v>0</v>
      </c>
      <c r="G406" s="70">
        <f>'Mortgage Calculator'!$U$25*((1+'Mortgage Calculator'!$S$10)^(MISC!C406-1))</f>
        <v>0</v>
      </c>
      <c r="H406" s="52">
        <f t="shared" si="37"/>
        <v>0</v>
      </c>
      <c r="I406" s="69" t="str">
        <f>IFERROR(IF((H406+I405)*(1+('Mortgage Calculator'!$S$12/12))&gt;R406,"stop",(H406+I405)*(1+('Mortgage Calculator'!$S$12/12))),"")</f>
        <v/>
      </c>
      <c r="M406" s="83" t="str">
        <f t="shared" si="38"/>
        <v/>
      </c>
      <c r="N406" s="83"/>
      <c r="O406" s="105" t="str">
        <f>IFERROR(M406/M406*'Mortgage Calculator'!$U$28,"")</f>
        <v/>
      </c>
      <c r="P406" s="105" t="str">
        <f>IFERROR(M406/M406*R405*'Mortgage Calculator'!$C$13/12,"")</f>
        <v/>
      </c>
      <c r="Q406" s="105" t="str">
        <f t="shared" si="39"/>
        <v/>
      </c>
      <c r="R406" s="105" t="str">
        <f t="shared" si="40"/>
        <v/>
      </c>
    </row>
    <row r="407" spans="4:18" x14ac:dyDescent="0.3">
      <c r="D407" s="1" t="str">
        <f t="shared" si="36"/>
        <v/>
      </c>
      <c r="F407" s="52">
        <f>'Mortgage Calculator'!$G$9*((1+'Mortgage Calculator'!$P$8)^(MISC!C407-1))</f>
        <v>0</v>
      </c>
      <c r="G407" s="70">
        <f>'Mortgage Calculator'!$U$25*((1+'Mortgage Calculator'!$S$10)^(MISC!C407-1))</f>
        <v>0</v>
      </c>
      <c r="H407" s="52">
        <f t="shared" si="37"/>
        <v>0</v>
      </c>
      <c r="I407" s="69" t="str">
        <f>IFERROR(IF((H407+I406)*(1+('Mortgage Calculator'!$S$12/12))&gt;R407,"stop",(H407+I406)*(1+('Mortgage Calculator'!$S$12/12))),"")</f>
        <v/>
      </c>
      <c r="M407" s="83" t="str">
        <f t="shared" si="38"/>
        <v/>
      </c>
      <c r="N407" s="83"/>
      <c r="O407" s="105" t="str">
        <f>IFERROR(M407/M407*'Mortgage Calculator'!$U$28,"")</f>
        <v/>
      </c>
      <c r="P407" s="105" t="str">
        <f>IFERROR(M407/M407*R406*'Mortgage Calculator'!$C$13/12,"")</f>
        <v/>
      </c>
      <c r="Q407" s="105" t="str">
        <f t="shared" si="39"/>
        <v/>
      </c>
      <c r="R407" s="105" t="str">
        <f t="shared" si="40"/>
        <v/>
      </c>
    </row>
    <row r="408" spans="4:18" x14ac:dyDescent="0.3">
      <c r="D408" s="1" t="str">
        <f t="shared" si="36"/>
        <v/>
      </c>
      <c r="F408" s="52">
        <f>'Mortgage Calculator'!$G$9*((1+'Mortgage Calculator'!$P$8)^(MISC!C408-1))</f>
        <v>0</v>
      </c>
      <c r="G408" s="70">
        <f>'Mortgage Calculator'!$U$25*((1+'Mortgage Calculator'!$S$10)^(MISC!C408-1))</f>
        <v>0</v>
      </c>
      <c r="H408" s="52">
        <f t="shared" si="37"/>
        <v>0</v>
      </c>
      <c r="I408" s="69" t="str">
        <f>IFERROR(IF((H408+I407)*(1+('Mortgage Calculator'!$S$12/12))&gt;R408,"stop",(H408+I407)*(1+('Mortgage Calculator'!$S$12/12))),"")</f>
        <v/>
      </c>
      <c r="M408" s="83" t="str">
        <f t="shared" si="38"/>
        <v/>
      </c>
      <c r="N408" s="83"/>
      <c r="O408" s="105" t="str">
        <f>IFERROR(M408/M408*'Mortgage Calculator'!$U$28,"")</f>
        <v/>
      </c>
      <c r="P408" s="105" t="str">
        <f>IFERROR(M408/M408*R407*'Mortgage Calculator'!$C$13/12,"")</f>
        <v/>
      </c>
      <c r="Q408" s="105" t="str">
        <f t="shared" si="39"/>
        <v/>
      </c>
      <c r="R408" s="105" t="str">
        <f t="shared" si="40"/>
        <v/>
      </c>
    </row>
    <row r="409" spans="4:18" x14ac:dyDescent="0.3">
      <c r="D409" s="1" t="str">
        <f t="shared" si="36"/>
        <v/>
      </c>
      <c r="F409" s="52">
        <f>'Mortgage Calculator'!$G$9*((1+'Mortgage Calculator'!$P$8)^(MISC!C409-1))</f>
        <v>0</v>
      </c>
      <c r="G409" s="70">
        <f>'Mortgage Calculator'!$U$25*((1+'Mortgage Calculator'!$S$10)^(MISC!C409-1))</f>
        <v>0</v>
      </c>
      <c r="H409" s="52">
        <f t="shared" si="37"/>
        <v>0</v>
      </c>
      <c r="I409" s="69" t="str">
        <f>IFERROR(IF((H409+I408)*(1+('Mortgage Calculator'!$S$12/12))&gt;R409,"stop",(H409+I408)*(1+('Mortgage Calculator'!$S$12/12))),"")</f>
        <v/>
      </c>
      <c r="M409" s="83" t="str">
        <f t="shared" si="38"/>
        <v/>
      </c>
      <c r="N409" s="83"/>
      <c r="O409" s="105" t="str">
        <f>IFERROR(M409/M409*'Mortgage Calculator'!$U$28,"")</f>
        <v/>
      </c>
      <c r="P409" s="105" t="str">
        <f>IFERROR(M409/M409*R408*'Mortgage Calculator'!$C$13/12,"")</f>
        <v/>
      </c>
      <c r="Q409" s="105" t="str">
        <f t="shared" si="39"/>
        <v/>
      </c>
      <c r="R409" s="105" t="str">
        <f t="shared" si="40"/>
        <v/>
      </c>
    </row>
    <row r="410" spans="4:18" x14ac:dyDescent="0.3">
      <c r="D410" s="1" t="str">
        <f t="shared" si="36"/>
        <v/>
      </c>
      <c r="F410" s="52">
        <f>'Mortgage Calculator'!$G$9*((1+'Mortgage Calculator'!$P$8)^(MISC!C410-1))</f>
        <v>0</v>
      </c>
      <c r="G410" s="70">
        <f>'Mortgage Calculator'!$U$25*((1+'Mortgage Calculator'!$S$10)^(MISC!C410-1))</f>
        <v>0</v>
      </c>
      <c r="H410" s="52">
        <f t="shared" si="37"/>
        <v>0</v>
      </c>
      <c r="I410" s="69" t="str">
        <f>IFERROR(IF((H410+I409)*(1+('Mortgage Calculator'!$S$12/12))&gt;R410,"stop",(H410+I409)*(1+('Mortgage Calculator'!$S$12/12))),"")</f>
        <v/>
      </c>
      <c r="M410" s="83" t="str">
        <f t="shared" si="38"/>
        <v/>
      </c>
      <c r="N410" s="83"/>
      <c r="O410" s="105" t="str">
        <f>IFERROR(M410/M410*'Mortgage Calculator'!$U$28,"")</f>
        <v/>
      </c>
      <c r="P410" s="105" t="str">
        <f>IFERROR(M410/M410*R409*'Mortgage Calculator'!$C$13/12,"")</f>
        <v/>
      </c>
      <c r="Q410" s="105" t="str">
        <f t="shared" si="39"/>
        <v/>
      </c>
      <c r="R410" s="105" t="str">
        <f t="shared" si="40"/>
        <v/>
      </c>
    </row>
    <row r="411" spans="4:18" x14ac:dyDescent="0.3">
      <c r="D411" s="1" t="str">
        <f t="shared" si="36"/>
        <v/>
      </c>
      <c r="F411" s="52">
        <f>'Mortgage Calculator'!$G$9*((1+'Mortgage Calculator'!$P$8)^(MISC!C411-1))</f>
        <v>0</v>
      </c>
      <c r="G411" s="70">
        <f>'Mortgage Calculator'!$U$25*((1+'Mortgage Calculator'!$S$10)^(MISC!C411-1))</f>
        <v>0</v>
      </c>
      <c r="H411" s="52">
        <f t="shared" si="37"/>
        <v>0</v>
      </c>
      <c r="I411" s="69" t="str">
        <f>IFERROR(IF((H411+I410)*(1+('Mortgage Calculator'!$S$12/12))&gt;R411,"stop",(H411+I410)*(1+('Mortgage Calculator'!$S$12/12))),"")</f>
        <v/>
      </c>
      <c r="M411" s="83" t="str">
        <f t="shared" si="38"/>
        <v/>
      </c>
      <c r="N411" s="83"/>
      <c r="O411" s="105" t="str">
        <f>IFERROR(M411/M411*'Mortgage Calculator'!$U$28,"")</f>
        <v/>
      </c>
      <c r="P411" s="105" t="str">
        <f>IFERROR(M411/M411*R410*'Mortgage Calculator'!$C$13/12,"")</f>
        <v/>
      </c>
      <c r="Q411" s="105" t="str">
        <f t="shared" si="39"/>
        <v/>
      </c>
      <c r="R411" s="105" t="str">
        <f t="shared" si="40"/>
        <v/>
      </c>
    </row>
    <row r="412" spans="4:18" x14ac:dyDescent="0.3">
      <c r="D412" s="1" t="str">
        <f t="shared" si="36"/>
        <v/>
      </c>
      <c r="F412" s="52">
        <f>'Mortgage Calculator'!$G$9*((1+'Mortgage Calculator'!$P$8)^(MISC!C412-1))</f>
        <v>0</v>
      </c>
      <c r="G412" s="70">
        <f>'Mortgage Calculator'!$U$25*((1+'Mortgage Calculator'!$S$10)^(MISC!C412-1))</f>
        <v>0</v>
      </c>
      <c r="H412" s="52">
        <f t="shared" si="37"/>
        <v>0</v>
      </c>
      <c r="I412" s="69" t="str">
        <f>IFERROR(IF((H412+I411)*(1+('Mortgage Calculator'!$S$12/12))&gt;R412,"stop",(H412+I411)*(1+('Mortgage Calculator'!$S$12/12))),"")</f>
        <v/>
      </c>
      <c r="M412" s="83" t="str">
        <f t="shared" si="38"/>
        <v/>
      </c>
      <c r="N412" s="83"/>
      <c r="O412" s="105" t="str">
        <f>IFERROR(M412/M412*'Mortgage Calculator'!$U$28,"")</f>
        <v/>
      </c>
      <c r="P412" s="105" t="str">
        <f>IFERROR(M412/M412*R411*'Mortgage Calculator'!$C$13/12,"")</f>
        <v/>
      </c>
      <c r="Q412" s="105" t="str">
        <f t="shared" si="39"/>
        <v/>
      </c>
      <c r="R412" s="105" t="str">
        <f t="shared" si="40"/>
        <v/>
      </c>
    </row>
    <row r="413" spans="4:18" x14ac:dyDescent="0.3">
      <c r="D413" s="1" t="str">
        <f t="shared" si="36"/>
        <v/>
      </c>
      <c r="F413" s="52">
        <f>'Mortgage Calculator'!$G$9*((1+'Mortgage Calculator'!$P$8)^(MISC!C413-1))</f>
        <v>0</v>
      </c>
      <c r="G413" s="70">
        <f>'Mortgage Calculator'!$U$25*((1+'Mortgage Calculator'!$S$10)^(MISC!C413-1))</f>
        <v>0</v>
      </c>
      <c r="H413" s="52">
        <f t="shared" si="37"/>
        <v>0</v>
      </c>
      <c r="I413" s="69" t="str">
        <f>IFERROR(IF((H413+I412)*(1+('Mortgage Calculator'!$S$12/12))&gt;R413,"stop",(H413+I412)*(1+('Mortgage Calculator'!$S$12/12))),"")</f>
        <v/>
      </c>
      <c r="M413" s="83" t="str">
        <f t="shared" si="38"/>
        <v/>
      </c>
      <c r="N413" s="83"/>
      <c r="O413" s="105" t="str">
        <f>IFERROR(M413/M413*'Mortgage Calculator'!$U$28,"")</f>
        <v/>
      </c>
      <c r="P413" s="105" t="str">
        <f>IFERROR(M413/M413*R412*'Mortgage Calculator'!$C$13/12,"")</f>
        <v/>
      </c>
      <c r="Q413" s="105" t="str">
        <f t="shared" si="39"/>
        <v/>
      </c>
      <c r="R413" s="105" t="str">
        <f t="shared" si="40"/>
        <v/>
      </c>
    </row>
    <row r="414" spans="4:18" x14ac:dyDescent="0.3">
      <c r="D414" s="1" t="str">
        <f t="shared" si="36"/>
        <v/>
      </c>
      <c r="F414" s="52">
        <f>'Mortgage Calculator'!$G$9*((1+'Mortgage Calculator'!$P$8)^(MISC!C414-1))</f>
        <v>0</v>
      </c>
      <c r="G414" s="70">
        <f>'Mortgage Calculator'!$U$25*((1+'Mortgage Calculator'!$S$10)^(MISC!C414-1))</f>
        <v>0</v>
      </c>
      <c r="H414" s="52">
        <f t="shared" si="37"/>
        <v>0</v>
      </c>
      <c r="I414" s="69" t="str">
        <f>IFERROR(IF((H414+I413)*(1+('Mortgage Calculator'!$S$12/12))&gt;R414,"stop",(H414+I413)*(1+('Mortgage Calculator'!$S$12/12))),"")</f>
        <v/>
      </c>
      <c r="M414" s="83" t="str">
        <f t="shared" si="38"/>
        <v/>
      </c>
      <c r="N414" s="83"/>
      <c r="O414" s="105" t="str">
        <f>IFERROR(M414/M414*'Mortgage Calculator'!$U$28,"")</f>
        <v/>
      </c>
      <c r="P414" s="105" t="str">
        <f>IFERROR(M414/M414*R413*'Mortgage Calculator'!$C$13/12,"")</f>
        <v/>
      </c>
      <c r="Q414" s="105" t="str">
        <f t="shared" si="39"/>
        <v/>
      </c>
      <c r="R414" s="105" t="str">
        <f t="shared" si="40"/>
        <v/>
      </c>
    </row>
    <row r="415" spans="4:18" x14ac:dyDescent="0.3">
      <c r="D415" s="1" t="str">
        <f t="shared" si="36"/>
        <v/>
      </c>
      <c r="F415" s="52">
        <f>'Mortgage Calculator'!$G$9*((1+'Mortgage Calculator'!$P$8)^(MISC!C415-1))</f>
        <v>0</v>
      </c>
      <c r="G415" s="70">
        <f>'Mortgage Calculator'!$U$25*((1+'Mortgage Calculator'!$S$10)^(MISC!C415-1))</f>
        <v>0</v>
      </c>
      <c r="H415" s="52">
        <f t="shared" si="37"/>
        <v>0</v>
      </c>
      <c r="I415" s="69" t="str">
        <f>IFERROR(IF((H415+I414)*(1+('Mortgage Calculator'!$S$12/12))&gt;R415,"stop",(H415+I414)*(1+('Mortgage Calculator'!$S$12/12))),"")</f>
        <v/>
      </c>
      <c r="M415" s="83" t="str">
        <f t="shared" si="38"/>
        <v/>
      </c>
      <c r="N415" s="83"/>
      <c r="O415" s="105" t="str">
        <f>IFERROR(M415/M415*'Mortgage Calculator'!$U$28,"")</f>
        <v/>
      </c>
      <c r="P415" s="105" t="str">
        <f>IFERROR(M415/M415*R414*'Mortgage Calculator'!$C$13/12,"")</f>
        <v/>
      </c>
      <c r="Q415" s="105" t="str">
        <f t="shared" si="39"/>
        <v/>
      </c>
      <c r="R415" s="105" t="str">
        <f t="shared" si="40"/>
        <v/>
      </c>
    </row>
    <row r="416" spans="4:18" x14ac:dyDescent="0.3">
      <c r="D416" s="1" t="str">
        <f t="shared" si="36"/>
        <v/>
      </c>
      <c r="F416" s="52">
        <f>'Mortgage Calculator'!$G$9*((1+'Mortgage Calculator'!$P$8)^(MISC!C416-1))</f>
        <v>0</v>
      </c>
      <c r="G416" s="70">
        <f>'Mortgage Calculator'!$U$25*((1+'Mortgage Calculator'!$S$10)^(MISC!C416-1))</f>
        <v>0</v>
      </c>
      <c r="H416" s="52">
        <f t="shared" si="37"/>
        <v>0</v>
      </c>
      <c r="I416" s="69" t="str">
        <f>IFERROR(IF((H416+I415)*(1+('Mortgage Calculator'!$S$12/12))&gt;R416,"stop",(H416+I415)*(1+('Mortgage Calculator'!$S$12/12))),"")</f>
        <v/>
      </c>
      <c r="M416" s="83" t="str">
        <f t="shared" si="38"/>
        <v/>
      </c>
      <c r="N416" s="83"/>
      <c r="O416" s="105" t="str">
        <f>IFERROR(M416/M416*'Mortgage Calculator'!$U$28,"")</f>
        <v/>
      </c>
      <c r="P416" s="105" t="str">
        <f>IFERROR(M416/M416*R415*'Mortgage Calculator'!$C$13/12,"")</f>
        <v/>
      </c>
      <c r="Q416" s="105" t="str">
        <f t="shared" si="39"/>
        <v/>
      </c>
      <c r="R416" s="105" t="str">
        <f t="shared" si="40"/>
        <v/>
      </c>
    </row>
    <row r="417" spans="4:18" x14ac:dyDescent="0.3">
      <c r="D417" s="1" t="str">
        <f t="shared" si="36"/>
        <v/>
      </c>
      <c r="F417" s="52">
        <f>'Mortgage Calculator'!$G$9*((1+'Mortgage Calculator'!$P$8)^(MISC!C417-1))</f>
        <v>0</v>
      </c>
      <c r="G417" s="70">
        <f>'Mortgage Calculator'!$U$25*((1+'Mortgage Calculator'!$S$10)^(MISC!C417-1))</f>
        <v>0</v>
      </c>
      <c r="H417" s="52">
        <f t="shared" si="37"/>
        <v>0</v>
      </c>
      <c r="I417" s="69" t="str">
        <f>IFERROR(IF((H417+I416)*(1+('Mortgage Calculator'!$S$12/12))&gt;R417,"stop",(H417+I416)*(1+('Mortgage Calculator'!$S$12/12))),"")</f>
        <v/>
      </c>
      <c r="M417" s="83" t="str">
        <f t="shared" si="38"/>
        <v/>
      </c>
      <c r="N417" s="83"/>
      <c r="O417" s="105" t="str">
        <f>IFERROR(M417/M417*'Mortgage Calculator'!$U$28,"")</f>
        <v/>
      </c>
      <c r="P417" s="105" t="str">
        <f>IFERROR(M417/M417*R416*'Mortgage Calculator'!$C$13/12,"")</f>
        <v/>
      </c>
      <c r="Q417" s="105" t="str">
        <f t="shared" si="39"/>
        <v/>
      </c>
      <c r="R417" s="105" t="str">
        <f t="shared" si="40"/>
        <v/>
      </c>
    </row>
    <row r="418" spans="4:18" x14ac:dyDescent="0.3">
      <c r="D418" s="1" t="str">
        <f t="shared" si="36"/>
        <v/>
      </c>
      <c r="F418" s="52">
        <f>'Mortgage Calculator'!$G$9*((1+'Mortgage Calculator'!$P$8)^(MISC!C418-1))</f>
        <v>0</v>
      </c>
      <c r="G418" s="70">
        <f>'Mortgage Calculator'!$U$25*((1+'Mortgage Calculator'!$S$10)^(MISC!C418-1))</f>
        <v>0</v>
      </c>
      <c r="H418" s="52">
        <f t="shared" si="37"/>
        <v>0</v>
      </c>
      <c r="I418" s="69" t="str">
        <f>IFERROR(IF((H418+I417)*(1+('Mortgage Calculator'!$S$12/12))&gt;R418,"stop",(H418+I417)*(1+('Mortgage Calculator'!$S$12/12))),"")</f>
        <v/>
      </c>
      <c r="M418" s="83" t="str">
        <f t="shared" si="38"/>
        <v/>
      </c>
      <c r="N418" s="83"/>
      <c r="O418" s="105" t="str">
        <f>IFERROR(M418/M418*'Mortgage Calculator'!$U$28,"")</f>
        <v/>
      </c>
      <c r="P418" s="105" t="str">
        <f>IFERROR(M418/M418*R417*'Mortgage Calculator'!$C$13/12,"")</f>
        <v/>
      </c>
      <c r="Q418" s="105" t="str">
        <f t="shared" si="39"/>
        <v/>
      </c>
      <c r="R418" s="105" t="str">
        <f t="shared" si="40"/>
        <v/>
      </c>
    </row>
    <row r="419" spans="4:18" x14ac:dyDescent="0.3">
      <c r="D419" s="1" t="str">
        <f t="shared" si="36"/>
        <v/>
      </c>
      <c r="F419" s="52">
        <f>'Mortgage Calculator'!$G$9*((1+'Mortgage Calculator'!$P$8)^(MISC!C419-1))</f>
        <v>0</v>
      </c>
      <c r="G419" s="70">
        <f>'Mortgage Calculator'!$U$25*((1+'Mortgage Calculator'!$S$10)^(MISC!C419-1))</f>
        <v>0</v>
      </c>
      <c r="H419" s="52">
        <f t="shared" si="37"/>
        <v>0</v>
      </c>
      <c r="I419" s="69" t="str">
        <f>IFERROR(IF((H419+I418)*(1+('Mortgage Calculator'!$S$12/12))&gt;R419,"stop",(H419+I418)*(1+('Mortgage Calculator'!$S$12/12))),"")</f>
        <v/>
      </c>
      <c r="M419" s="83" t="str">
        <f t="shared" si="38"/>
        <v/>
      </c>
      <c r="N419" s="83"/>
      <c r="O419" s="105" t="str">
        <f>IFERROR(M419/M419*'Mortgage Calculator'!$U$28,"")</f>
        <v/>
      </c>
      <c r="P419" s="105" t="str">
        <f>IFERROR(M419/M419*R418*'Mortgage Calculator'!$C$13/12,"")</f>
        <v/>
      </c>
      <c r="Q419" s="105" t="str">
        <f t="shared" si="39"/>
        <v/>
      </c>
      <c r="R419" s="105" t="str">
        <f t="shared" si="40"/>
        <v/>
      </c>
    </row>
    <row r="420" spans="4:18" x14ac:dyDescent="0.3">
      <c r="D420" s="1" t="str">
        <f t="shared" si="36"/>
        <v/>
      </c>
      <c r="F420" s="52">
        <f>'Mortgage Calculator'!$G$9*((1+'Mortgage Calculator'!$P$8)^(MISC!C420-1))</f>
        <v>0</v>
      </c>
      <c r="G420" s="70">
        <f>'Mortgage Calculator'!$U$25*((1+'Mortgage Calculator'!$S$10)^(MISC!C420-1))</f>
        <v>0</v>
      </c>
      <c r="H420" s="52">
        <f t="shared" si="37"/>
        <v>0</v>
      </c>
      <c r="I420" s="69" t="str">
        <f>IFERROR(IF((H420+I419)*(1+('Mortgage Calculator'!$S$12/12))&gt;R420,"stop",(H420+I419)*(1+('Mortgage Calculator'!$S$12/12))),"")</f>
        <v/>
      </c>
      <c r="M420" s="83" t="str">
        <f t="shared" si="38"/>
        <v/>
      </c>
      <c r="N420" s="83"/>
      <c r="O420" s="105" t="str">
        <f>IFERROR(M420/M420*'Mortgage Calculator'!$U$28,"")</f>
        <v/>
      </c>
      <c r="P420" s="105" t="str">
        <f>IFERROR(M420/M420*R419*'Mortgage Calculator'!$C$13/12,"")</f>
        <v/>
      </c>
      <c r="Q420" s="105" t="str">
        <f t="shared" si="39"/>
        <v/>
      </c>
      <c r="R420" s="105" t="str">
        <f t="shared" si="40"/>
        <v/>
      </c>
    </row>
    <row r="421" spans="4:18" x14ac:dyDescent="0.3">
      <c r="D421" s="1" t="str">
        <f t="shared" si="36"/>
        <v/>
      </c>
      <c r="F421" s="52">
        <f>'Mortgage Calculator'!$G$9*((1+'Mortgage Calculator'!$P$8)^(MISC!C421-1))</f>
        <v>0</v>
      </c>
      <c r="G421" s="70">
        <f>'Mortgage Calculator'!$U$25*((1+'Mortgage Calculator'!$S$10)^(MISC!C421-1))</f>
        <v>0</v>
      </c>
      <c r="H421" s="52">
        <f t="shared" si="37"/>
        <v>0</v>
      </c>
      <c r="I421" s="69" t="str">
        <f>IFERROR(IF((H421+I420)*(1+('Mortgage Calculator'!$S$12/12))&gt;R421,"stop",(H421+I420)*(1+('Mortgage Calculator'!$S$12/12))),"")</f>
        <v/>
      </c>
      <c r="M421" s="83" t="str">
        <f t="shared" si="38"/>
        <v/>
      </c>
      <c r="N421" s="83"/>
      <c r="O421" s="105" t="str">
        <f>IFERROR(M421/M421*'Mortgage Calculator'!$U$28,"")</f>
        <v/>
      </c>
      <c r="P421" s="105" t="str">
        <f>IFERROR(M421/M421*R420*'Mortgage Calculator'!$C$13/12,"")</f>
        <v/>
      </c>
      <c r="Q421" s="105" t="str">
        <f t="shared" si="39"/>
        <v/>
      </c>
      <c r="R421" s="105" t="str">
        <f t="shared" si="40"/>
        <v/>
      </c>
    </row>
    <row r="422" spans="4:18" x14ac:dyDescent="0.3">
      <c r="D422" s="1" t="str">
        <f t="shared" si="36"/>
        <v/>
      </c>
      <c r="F422" s="52">
        <f>'Mortgage Calculator'!$G$9*((1+'Mortgage Calculator'!$P$8)^(MISC!C422-1))</f>
        <v>0</v>
      </c>
      <c r="G422" s="70">
        <f>'Mortgage Calculator'!$U$25*((1+'Mortgage Calculator'!$S$10)^(MISC!C422-1))</f>
        <v>0</v>
      </c>
      <c r="H422" s="52">
        <f t="shared" si="37"/>
        <v>0</v>
      </c>
      <c r="I422" s="69" t="str">
        <f>IFERROR(IF((H422+I421)*(1+('Mortgage Calculator'!$S$12/12))&gt;R422,"stop",(H422+I421)*(1+('Mortgage Calculator'!$S$12/12))),"")</f>
        <v/>
      </c>
      <c r="M422" s="83" t="str">
        <f t="shared" si="38"/>
        <v/>
      </c>
      <c r="N422" s="83"/>
      <c r="O422" s="105" t="str">
        <f>IFERROR(M422/M422*'Mortgage Calculator'!$U$28,"")</f>
        <v/>
      </c>
      <c r="P422" s="105" t="str">
        <f>IFERROR(M422/M422*R421*'Mortgage Calculator'!$C$13/12,"")</f>
        <v/>
      </c>
      <c r="Q422" s="105" t="str">
        <f t="shared" si="39"/>
        <v/>
      </c>
      <c r="R422" s="105" t="str">
        <f t="shared" si="40"/>
        <v/>
      </c>
    </row>
    <row r="423" spans="4:18" x14ac:dyDescent="0.3">
      <c r="D423" s="1" t="str">
        <f t="shared" si="36"/>
        <v/>
      </c>
      <c r="F423" s="52">
        <f>'Mortgage Calculator'!$G$9*((1+'Mortgage Calculator'!$P$8)^(MISC!C423-1))</f>
        <v>0</v>
      </c>
      <c r="G423" s="70">
        <f>'Mortgage Calculator'!$U$25*((1+'Mortgage Calculator'!$S$10)^(MISC!C423-1))</f>
        <v>0</v>
      </c>
      <c r="H423" s="52">
        <f t="shared" si="37"/>
        <v>0</v>
      </c>
      <c r="I423" s="69" t="str">
        <f>IFERROR(IF((H423+I422)*(1+('Mortgage Calculator'!$S$12/12))&gt;R423,"stop",(H423+I422)*(1+('Mortgage Calculator'!$S$12/12))),"")</f>
        <v/>
      </c>
      <c r="M423" s="83" t="str">
        <f t="shared" si="38"/>
        <v/>
      </c>
      <c r="N423" s="83"/>
      <c r="O423" s="105" t="str">
        <f>IFERROR(M423/M423*'Mortgage Calculator'!$U$28,"")</f>
        <v/>
      </c>
      <c r="P423" s="105" t="str">
        <f>IFERROR(M423/M423*R422*'Mortgage Calculator'!$C$13/12,"")</f>
        <v/>
      </c>
      <c r="Q423" s="105" t="str">
        <f t="shared" si="39"/>
        <v/>
      </c>
      <c r="R423" s="105" t="str">
        <f t="shared" si="40"/>
        <v/>
      </c>
    </row>
    <row r="424" spans="4:18" x14ac:dyDescent="0.3">
      <c r="D424" s="1" t="str">
        <f t="shared" si="36"/>
        <v/>
      </c>
      <c r="F424" s="52">
        <f>'Mortgage Calculator'!$G$9*((1+'Mortgage Calculator'!$P$8)^(MISC!C424-1))</f>
        <v>0</v>
      </c>
      <c r="G424" s="70">
        <f>'Mortgage Calculator'!$U$25*((1+'Mortgage Calculator'!$S$10)^(MISC!C424-1))</f>
        <v>0</v>
      </c>
      <c r="H424" s="52">
        <f t="shared" si="37"/>
        <v>0</v>
      </c>
      <c r="I424" s="69" t="str">
        <f>IFERROR(IF((H424+I423)*(1+('Mortgage Calculator'!$S$12/12))&gt;R424,"stop",(H424+I423)*(1+('Mortgage Calculator'!$S$12/12))),"")</f>
        <v/>
      </c>
      <c r="M424" s="83" t="str">
        <f t="shared" si="38"/>
        <v/>
      </c>
      <c r="N424" s="83"/>
      <c r="O424" s="105" t="str">
        <f>IFERROR(M424/M424*'Mortgage Calculator'!$U$28,"")</f>
        <v/>
      </c>
      <c r="P424" s="105" t="str">
        <f>IFERROR(M424/M424*R423*'Mortgage Calculator'!$C$13/12,"")</f>
        <v/>
      </c>
      <c r="Q424" s="105" t="str">
        <f t="shared" si="39"/>
        <v/>
      </c>
      <c r="R424" s="105" t="str">
        <f t="shared" si="40"/>
        <v/>
      </c>
    </row>
    <row r="425" spans="4:18" x14ac:dyDescent="0.3">
      <c r="D425" s="1" t="str">
        <f t="shared" si="36"/>
        <v/>
      </c>
      <c r="F425" s="52">
        <f>'Mortgage Calculator'!$G$9*((1+'Mortgage Calculator'!$P$8)^(MISC!C425-1))</f>
        <v>0</v>
      </c>
      <c r="G425" s="70">
        <f>'Mortgage Calculator'!$U$25*((1+'Mortgage Calculator'!$S$10)^(MISC!C425-1))</f>
        <v>0</v>
      </c>
      <c r="H425" s="52">
        <f t="shared" si="37"/>
        <v>0</v>
      </c>
      <c r="I425" s="69" t="str">
        <f>IFERROR(IF((H425+I424)*(1+('Mortgage Calculator'!$S$12/12))&gt;R425,"stop",(H425+I424)*(1+('Mortgage Calculator'!$S$12/12))),"")</f>
        <v/>
      </c>
      <c r="M425" s="83" t="str">
        <f t="shared" si="38"/>
        <v/>
      </c>
      <c r="N425" s="83"/>
      <c r="O425" s="105" t="str">
        <f>IFERROR(M425/M425*'Mortgage Calculator'!$U$28,"")</f>
        <v/>
      </c>
      <c r="P425" s="105" t="str">
        <f>IFERROR(M425/M425*R424*'Mortgage Calculator'!$C$13/12,"")</f>
        <v/>
      </c>
      <c r="Q425" s="105" t="str">
        <f t="shared" si="39"/>
        <v/>
      </c>
      <c r="R425" s="105" t="str">
        <f t="shared" si="40"/>
        <v/>
      </c>
    </row>
    <row r="426" spans="4:18" x14ac:dyDescent="0.3">
      <c r="D426" s="1" t="str">
        <f t="shared" si="36"/>
        <v/>
      </c>
      <c r="F426" s="52">
        <f>'Mortgage Calculator'!$G$9*((1+'Mortgage Calculator'!$P$8)^(MISC!C426-1))</f>
        <v>0</v>
      </c>
      <c r="G426" s="70">
        <f>'Mortgage Calculator'!$U$25*((1+'Mortgage Calculator'!$S$10)^(MISC!C426-1))</f>
        <v>0</v>
      </c>
      <c r="H426" s="52">
        <f t="shared" si="37"/>
        <v>0</v>
      </c>
      <c r="I426" s="69" t="str">
        <f>IFERROR(IF((H426+I425)*(1+('Mortgage Calculator'!$S$12/12))&gt;R426,"stop",(H426+I425)*(1+('Mortgage Calculator'!$S$12/12))),"")</f>
        <v/>
      </c>
      <c r="M426" s="83" t="str">
        <f t="shared" si="38"/>
        <v/>
      </c>
      <c r="N426" s="83"/>
      <c r="O426" s="105" t="str">
        <f>IFERROR(M426/M426*'Mortgage Calculator'!$U$28,"")</f>
        <v/>
      </c>
      <c r="P426" s="105" t="str">
        <f>IFERROR(M426/M426*R425*'Mortgage Calculator'!$C$13/12,"")</f>
        <v/>
      </c>
      <c r="Q426" s="105" t="str">
        <f t="shared" si="39"/>
        <v/>
      </c>
      <c r="R426" s="105" t="str">
        <f t="shared" si="40"/>
        <v/>
      </c>
    </row>
    <row r="427" spans="4:18" x14ac:dyDescent="0.3">
      <c r="D427" s="1" t="str">
        <f t="shared" si="36"/>
        <v/>
      </c>
      <c r="F427" s="52">
        <f>'Mortgage Calculator'!$G$9*((1+'Mortgage Calculator'!$P$8)^(MISC!C427-1))</f>
        <v>0</v>
      </c>
      <c r="G427" s="70">
        <f>'Mortgage Calculator'!$U$25*((1+'Mortgage Calculator'!$S$10)^(MISC!C427-1))</f>
        <v>0</v>
      </c>
      <c r="H427" s="52">
        <f t="shared" si="37"/>
        <v>0</v>
      </c>
      <c r="I427" s="69" t="str">
        <f>IFERROR(IF((H427+I426)*(1+('Mortgage Calculator'!$S$12/12))&gt;R427,"stop",(H427+I426)*(1+('Mortgage Calculator'!$S$12/12))),"")</f>
        <v/>
      </c>
      <c r="M427" s="83" t="str">
        <f t="shared" si="38"/>
        <v/>
      </c>
      <c r="N427" s="83"/>
      <c r="O427" s="105" t="str">
        <f>IFERROR(M427/M427*'Mortgage Calculator'!$U$28,"")</f>
        <v/>
      </c>
      <c r="P427" s="105" t="str">
        <f>IFERROR(M427/M427*R426*'Mortgage Calculator'!$C$13/12,"")</f>
        <v/>
      </c>
      <c r="Q427" s="105" t="str">
        <f t="shared" si="39"/>
        <v/>
      </c>
      <c r="R427" s="105" t="str">
        <f t="shared" si="40"/>
        <v/>
      </c>
    </row>
    <row r="428" spans="4:18" x14ac:dyDescent="0.3">
      <c r="D428" s="1" t="str">
        <f t="shared" si="36"/>
        <v/>
      </c>
      <c r="F428" s="52">
        <f>'Mortgage Calculator'!$G$9*((1+'Mortgage Calculator'!$P$8)^(MISC!C428-1))</f>
        <v>0</v>
      </c>
      <c r="G428" s="70">
        <f>'Mortgage Calculator'!$U$25*((1+'Mortgage Calculator'!$S$10)^(MISC!C428-1))</f>
        <v>0</v>
      </c>
      <c r="H428" s="52">
        <f t="shared" si="37"/>
        <v>0</v>
      </c>
      <c r="I428" s="69" t="str">
        <f>IFERROR(IF((H428+I427)*(1+('Mortgage Calculator'!$S$12/12))&gt;R428,"stop",(H428+I427)*(1+('Mortgage Calculator'!$S$12/12))),"")</f>
        <v/>
      </c>
      <c r="M428" s="83" t="str">
        <f>IF(N428="","",ROW()-9)</f>
        <v/>
      </c>
      <c r="N428" s="83"/>
      <c r="O428" s="105" t="str">
        <f>IFERROR(M428/M428*'Mortgage Calculator'!$U$28,"")</f>
        <v/>
      </c>
      <c r="P428" s="105" t="str">
        <f>IFERROR(M428/M428*R427*'Mortgage Calculator'!$C$13/12,"")</f>
        <v/>
      </c>
      <c r="Q428" s="105" t="str">
        <f t="shared" si="39"/>
        <v/>
      </c>
      <c r="R428" s="105" t="str">
        <f t="shared" si="40"/>
        <v/>
      </c>
    </row>
    <row r="429" spans="4:18" x14ac:dyDescent="0.3">
      <c r="D429" s="1" t="str">
        <f t="shared" si="36"/>
        <v/>
      </c>
      <c r="F429" s="52">
        <f>'Mortgage Calculator'!$G$9*((1+'Mortgage Calculator'!$P$8)^(MISC!C429-1))</f>
        <v>0</v>
      </c>
      <c r="G429" s="70">
        <f>'Mortgage Calculator'!$U$25*((1+'Mortgage Calculator'!$S$10)^(MISC!C429-1))</f>
        <v>0</v>
      </c>
      <c r="H429" s="52">
        <f t="shared" si="37"/>
        <v>0</v>
      </c>
      <c r="I429" s="69" t="str">
        <f>IFERROR(IF((H429+I428)*(1+('Mortgage Calculator'!$S$12/12))&gt;R429,"stop",(H429+I428)*(1+('Mortgage Calculator'!$S$12/12))),"")</f>
        <v/>
      </c>
      <c r="M429" s="83" t="str">
        <f>IF(N429="","",ROW()-9)</f>
        <v/>
      </c>
      <c r="N429" s="83"/>
      <c r="O429" s="105" t="str">
        <f>IFERROR(M429/M429*'Mortgage Calculator'!$U$28,"")</f>
        <v/>
      </c>
      <c r="P429" s="105" t="str">
        <f>IFERROR(M429/M429*R428*'Mortgage Calculator'!$C$13/12,"")</f>
        <v/>
      </c>
      <c r="Q429" s="105" t="str">
        <f t="shared" si="39"/>
        <v/>
      </c>
      <c r="R429" s="105" t="str">
        <f t="shared" si="40"/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Instructions</vt:lpstr>
      <vt:lpstr>Mortgage Calculator</vt:lpstr>
      <vt:lpstr>Mortgage_INT Comparision</vt:lpstr>
      <vt:lpstr>Payment Schedule</vt:lpstr>
      <vt:lpstr>MISC</vt:lpstr>
      <vt:lpstr>Home_Property_Value</vt:lpstr>
      <vt:lpstr>Money_at_Bank</vt:lpstr>
      <vt:lpstr>monthly_expenses</vt:lpstr>
      <vt:lpstr>montly_rent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Edward Nunoo</dc:creator>
  <cp:lastModifiedBy>Edward Nunoo</cp:lastModifiedBy>
  <dcterms:created xsi:type="dcterms:W3CDTF">2025-01-05T14:46:59Z</dcterms:created>
  <dcterms:modified xsi:type="dcterms:W3CDTF">2025-01-09T15:40:42Z</dcterms:modified>
</cp:coreProperties>
</file>